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1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yna\Desktop\git\"/>
    </mc:Choice>
  </mc:AlternateContent>
  <xr:revisionPtr revIDLastSave="0" documentId="13_ncr:1_{0F38DA9F-0476-4E40-B857-1EB18A81C7BA}" xr6:coauthVersionLast="47" xr6:coauthVersionMax="47" xr10:uidLastSave="{00000000-0000-0000-0000-000000000000}"/>
  <bookViews>
    <workbookView xWindow="-108" yWindow="-108" windowWidth="23256" windowHeight="12456" firstSheet="3" activeTab="8" xr2:uid="{C89818F6-CD6B-4D26-AFBA-D820169969AD}"/>
  </bookViews>
  <sheets>
    <sheet name="January" sheetId="12" r:id="rId1"/>
    <sheet name="February" sheetId="11" r:id="rId2"/>
    <sheet name="March" sheetId="10" r:id="rId3"/>
    <sheet name="April" sheetId="9" r:id="rId4"/>
    <sheet name="May" sheetId="8" r:id="rId5"/>
    <sheet name="June" sheetId="7" r:id="rId6"/>
    <sheet name="July" sheetId="6" r:id="rId7"/>
    <sheet name="August" sheetId="5" r:id="rId8"/>
    <sheet name="September" sheetId="4" r:id="rId9"/>
    <sheet name="October" sheetId="3" r:id="rId10"/>
    <sheet name="November" sheetId="2" r:id="rId11"/>
    <sheet name="December" sheetId="1" r:id="rId12"/>
    <sheet name="Summary" sheetId="14" r:id="rId13"/>
  </sheets>
  <functionGroups builtInGroupCount="19"/>
  <definedNames>
    <definedName name="_xlcn.WorksheetConnection_work_hours_tracker.xlsmapr1" hidden="1">apr[]</definedName>
    <definedName name="_xlcn.WorksheetConnection_work_hours_tracker.xlsmaug1" hidden="1">aug[]</definedName>
    <definedName name="_xlcn.WorksheetConnection_work_hours_tracker.xlsmdec1" hidden="1">dec[]</definedName>
    <definedName name="_xlcn.WorksheetConnection_work_hours_tracker.xlsmfeb1" hidden="1">feb[]</definedName>
    <definedName name="_xlcn.WorksheetConnection_work_hours_tracker.xlsmjan1" hidden="1">jan[]</definedName>
    <definedName name="_xlcn.WorksheetConnection_work_hours_tracker.xlsmjul1" hidden="1">jul[]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jan" name="jan" connection="WorksheetConnection_work_hours_tracker.xlsm!jan"/>
          <x15:modelTable id="apr" name="apr" connection="WorksheetConnection_work_hours_tracker.xlsm!apr"/>
          <x15:modelTable id="aug" name="aug" connection="WorksheetConnection_work_hours_tracker.xlsm!aug"/>
          <x15:modelTable id="dec" name="dec" connection="WorksheetConnection_work_hours_tracker.xlsm!dec"/>
          <x15:modelTable id="feb" name="feb" connection="WorksheetConnection_work_hours_tracker.xlsm!feb"/>
          <x15:modelTable id="jul" name="jul" connection="WorksheetConnection_work_hours_tracker.xlsm!ju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4" l="1" a="1"/>
  <c r="C18" i="14" s="1"/>
  <c r="C17" i="14" a="1"/>
  <c r="C17" i="14" s="1"/>
  <c r="C16" i="14" a="1"/>
  <c r="C16" i="14" s="1"/>
  <c r="C15" i="14" a="1"/>
  <c r="C15" i="14" s="1"/>
  <c r="C14" i="14" a="1"/>
  <c r="C14" i="14" s="1"/>
  <c r="C13" i="14" a="1"/>
  <c r="C13" i="14" s="1"/>
  <c r="I6" i="1"/>
  <c r="H6" i="1"/>
  <c r="H3" i="1"/>
  <c r="I3" i="1" s="1" a="1"/>
  <c r="I3" i="1" s="1"/>
  <c r="I6" i="2"/>
  <c r="H6" i="2"/>
  <c r="H3" i="2"/>
  <c r="I6" i="3"/>
  <c r="H6" i="3"/>
  <c r="H3" i="3"/>
  <c r="I3" i="3" s="1" a="1"/>
  <c r="I3" i="3" s="1"/>
  <c r="I6" i="5"/>
  <c r="H6" i="5"/>
  <c r="H3" i="5"/>
  <c r="I3" i="5" s="1" a="1"/>
  <c r="I3" i="5" s="1"/>
  <c r="I6" i="4"/>
  <c r="H6" i="4"/>
  <c r="H3" i="4"/>
  <c r="I3" i="4" s="1" a="1"/>
  <c r="I3" i="4" s="1"/>
  <c r="I6" i="6"/>
  <c r="H6" i="6"/>
  <c r="H3" i="6"/>
  <c r="I3" i="6" s="1" a="1"/>
  <c r="I3" i="6" s="1"/>
  <c r="B18" i="14"/>
  <c r="I3" i="2" a="1"/>
  <c r="I3" i="2" s="1"/>
  <c r="F3" i="2" a="1"/>
  <c r="F3" i="3" a="1"/>
  <c r="F3" i="4" a="1"/>
  <c r="F3" i="5" a="1"/>
  <c r="F3" i="6" a="1"/>
  <c r="F3" i="1" a="1"/>
  <c r="F5" i="7" a="1"/>
  <c r="F9" i="7" a="1"/>
  <c r="F13" i="7" a="1"/>
  <c r="F17" i="7" a="1"/>
  <c r="F12" i="7" a="1"/>
  <c r="F6" i="7" a="1"/>
  <c r="F10" i="7" a="1"/>
  <c r="F14" i="7" a="1"/>
  <c r="F8" i="7" a="1"/>
  <c r="F3" i="7" a="1"/>
  <c r="F7" i="7" a="1"/>
  <c r="F11" i="7" a="1"/>
  <c r="F15" i="7" a="1"/>
  <c r="F4" i="7" a="1"/>
  <c r="F16" i="7" a="1"/>
  <c r="F4" i="8" a="1"/>
  <c r="F8" i="8" a="1"/>
  <c r="F12" i="8" a="1"/>
  <c r="F16" i="8" a="1"/>
  <c r="F13" i="8" a="1"/>
  <c r="F5" i="8" a="1"/>
  <c r="F9" i="8" a="1"/>
  <c r="F17" i="8" a="1"/>
  <c r="F6" i="8" a="1"/>
  <c r="F10" i="8" a="1"/>
  <c r="F14" i="8" a="1"/>
  <c r="F11" i="8" a="1"/>
  <c r="F15" i="8" a="1"/>
  <c r="F7" i="8" a="1"/>
  <c r="F3" i="8" a="1"/>
  <c r="F9" i="9" a="1"/>
  <c r="F13" i="9" a="1"/>
  <c r="F7" i="9" a="1"/>
  <c r="F5" i="9" a="1"/>
  <c r="F17" i="9" a="1"/>
  <c r="F6" i="9" a="1"/>
  <c r="F10" i="9" a="1"/>
  <c r="F14" i="9" a="1"/>
  <c r="F3" i="9" a="1"/>
  <c r="F11" i="9" a="1"/>
  <c r="F4" i="9" a="1"/>
  <c r="F8" i="9" a="1"/>
  <c r="F12" i="9" a="1"/>
  <c r="F16" i="9" a="1"/>
  <c r="F15" i="9" a="1"/>
  <c r="F5" i="10" a="1"/>
  <c r="F9" i="10" a="1"/>
  <c r="F13" i="10" a="1"/>
  <c r="F11" i="10" a="1"/>
  <c r="F6" i="10" a="1"/>
  <c r="F10" i="10" a="1"/>
  <c r="F14" i="10" a="1"/>
  <c r="F15" i="10" a="1"/>
  <c r="F8" i="10" a="1"/>
  <c r="F16" i="10" a="1"/>
  <c r="F7" i="10" a="1"/>
  <c r="F12" i="10" a="1"/>
  <c r="F3" i="10" a="1"/>
  <c r="F4" i="10" a="1"/>
  <c r="F17" i="10" a="1"/>
  <c r="F5" i="11" a="1"/>
  <c r="F9" i="11" a="1"/>
  <c r="F13" i="11" a="1"/>
  <c r="F17" i="11" a="1"/>
  <c r="F10" i="11" a="1"/>
  <c r="F16" i="11" a="1"/>
  <c r="F6" i="11" a="1"/>
  <c r="F14" i="11" a="1"/>
  <c r="F7" i="11" a="1"/>
  <c r="F11" i="11" a="1"/>
  <c r="F15" i="11" a="1"/>
  <c r="F12" i="11" a="1"/>
  <c r="F4" i="11" a="1"/>
  <c r="F8" i="11" a="1"/>
  <c r="F3" i="11" a="1"/>
  <c r="F7" i="12" a="1"/>
  <c r="F11" i="12" a="1"/>
  <c r="F4" i="12" a="1"/>
  <c r="F12" i="12" a="1"/>
  <c r="F5" i="12" a="1"/>
  <c r="F8" i="12" a="1"/>
  <c r="F10" i="12" a="1"/>
  <c r="F9" i="12" a="1"/>
  <c r="F13" i="12" a="1"/>
  <c r="F3" i="12" a="1"/>
  <c r="F6" i="12" a="1"/>
  <c r="F16" i="7" l="1"/>
  <c r="F4" i="7"/>
  <c r="F15" i="7"/>
  <c r="F11" i="7"/>
  <c r="F7" i="7"/>
  <c r="F8" i="7"/>
  <c r="F14" i="7"/>
  <c r="F10" i="7"/>
  <c r="F6" i="7"/>
  <c r="F12" i="7"/>
  <c r="F17" i="7"/>
  <c r="F13" i="7"/>
  <c r="F9" i="7"/>
  <c r="F5" i="7"/>
  <c r="F7" i="8"/>
  <c r="F15" i="8"/>
  <c r="F11" i="8"/>
  <c r="F14" i="8"/>
  <c r="F10" i="8"/>
  <c r="F6" i="8"/>
  <c r="F17" i="8"/>
  <c r="F9" i="8"/>
  <c r="F5" i="8"/>
  <c r="F13" i="8"/>
  <c r="F16" i="8"/>
  <c r="F12" i="8"/>
  <c r="F8" i="8"/>
  <c r="F4" i="8"/>
  <c r="F15" i="9"/>
  <c r="F16" i="9"/>
  <c r="F12" i="9"/>
  <c r="F8" i="9"/>
  <c r="F4" i="9"/>
  <c r="F11" i="9"/>
  <c r="F14" i="9"/>
  <c r="F10" i="9"/>
  <c r="F6" i="9"/>
  <c r="F17" i="9"/>
  <c r="F5" i="9"/>
  <c r="F7" i="9"/>
  <c r="F13" i="9"/>
  <c r="F9" i="9"/>
  <c r="F17" i="10"/>
  <c r="F4" i="10"/>
  <c r="F12" i="10"/>
  <c r="F7" i="10"/>
  <c r="F16" i="10"/>
  <c r="F8" i="10"/>
  <c r="F15" i="10"/>
  <c r="F14" i="10"/>
  <c r="F10" i="10"/>
  <c r="F6" i="10"/>
  <c r="F11" i="10"/>
  <c r="F13" i="10"/>
  <c r="F9" i="10"/>
  <c r="F5" i="10"/>
  <c r="F8" i="11"/>
  <c r="F4" i="11"/>
  <c r="F12" i="11"/>
  <c r="F15" i="11"/>
  <c r="F11" i="11"/>
  <c r="F7" i="11"/>
  <c r="F14" i="11"/>
  <c r="F6" i="11"/>
  <c r="F16" i="11"/>
  <c r="F10" i="11"/>
  <c r="F17" i="11"/>
  <c r="F13" i="11"/>
  <c r="F9" i="11"/>
  <c r="F5" i="11"/>
  <c r="F12" i="12"/>
  <c r="F8" i="12"/>
  <c r="F4" i="12"/>
  <c r="F11" i="12"/>
  <c r="F7" i="12"/>
  <c r="F10" i="12"/>
  <c r="F6" i="12"/>
  <c r="F13" i="12"/>
  <c r="F9" i="12"/>
  <c r="F5" i="12"/>
  <c r="F3" i="12"/>
  <c r="F3" i="11"/>
  <c r="F3" i="10"/>
  <c r="F3" i="9"/>
  <c r="F3" i="8"/>
  <c r="F3" i="7"/>
  <c r="F3" i="6"/>
  <c r="B13" i="14" s="1"/>
  <c r="F3" i="5"/>
  <c r="B14" i="14" s="1"/>
  <c r="F3" i="4"/>
  <c r="B15" i="14" s="1"/>
  <c r="F3" i="3"/>
  <c r="B16" i="14" s="1"/>
  <c r="F3" i="2"/>
  <c r="B17" i="14" s="1"/>
  <c r="F3" i="1"/>
  <c r="B12" i="14" l="1"/>
  <c r="H3" i="7"/>
  <c r="I3" i="7" s="1" a="1"/>
  <c r="I3" i="7" s="1"/>
  <c r="C12" i="14" s="1" a="1"/>
  <c r="C12" i="14" s="1"/>
  <c r="I6" i="7"/>
  <c r="H6" i="7"/>
  <c r="B11" i="14"/>
  <c r="I6" i="8"/>
  <c r="H3" i="8"/>
  <c r="I3" i="8" s="1" a="1"/>
  <c r="I3" i="8" s="1"/>
  <c r="C11" i="14" s="1" a="1"/>
  <c r="C11" i="14" s="1"/>
  <c r="H6" i="8"/>
  <c r="B10" i="14"/>
  <c r="I6" i="9"/>
  <c r="H6" i="9"/>
  <c r="H3" i="9"/>
  <c r="I3" i="9" s="1" a="1"/>
  <c r="I3" i="9" s="1"/>
  <c r="C10" i="14" s="1" a="1"/>
  <c r="C10" i="14" s="1"/>
  <c r="B9" i="14"/>
  <c r="H3" i="10"/>
  <c r="I3" i="10" s="1" a="1"/>
  <c r="I3" i="10" s="1"/>
  <c r="C9" i="14" s="1" a="1"/>
  <c r="C9" i="14" s="1"/>
  <c r="H6" i="10"/>
  <c r="I6" i="10"/>
  <c r="B8" i="14"/>
  <c r="I6" i="11"/>
  <c r="H6" i="11"/>
  <c r="H3" i="11"/>
  <c r="I3" i="11" s="1" a="1"/>
  <c r="I3" i="11" s="1"/>
  <c r="C8" i="14" s="1" a="1"/>
  <c r="C8" i="14" s="1"/>
  <c r="H6" i="12"/>
  <c r="B7" i="14"/>
  <c r="H3" i="12"/>
  <c r="I3" i="12" s="1" a="1"/>
  <c r="I3" i="12" s="1"/>
  <c r="C7" i="14" s="1" a="1"/>
  <c r="C7" i="14" s="1"/>
  <c r="I6" i="12"/>
  <c r="B19" i="14" l="1"/>
  <c r="C19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B6AD3-A246-48FE-8CF5-02637C7549F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74E8A81-D485-413C-8984-27FB157ABFC6}" name="WorksheetConnection_work_hours_tracker.xlsm!apr" type="102" refreshedVersion="8" minRefreshableVersion="5">
    <extLst>
      <ext xmlns:x15="http://schemas.microsoft.com/office/spreadsheetml/2010/11/main" uri="{DE250136-89BD-433C-8126-D09CA5730AF9}">
        <x15:connection id="apr">
          <x15:rangePr sourceName="_xlcn.WorksheetConnection_work_hours_tracker.xlsmapr1"/>
        </x15:connection>
      </ext>
    </extLst>
  </connection>
  <connection id="3" xr16:uid="{B5022D1C-1ECE-4544-B880-90C74218F845}" name="WorksheetConnection_work_hours_tracker.xlsm!aug" type="102" refreshedVersion="8" minRefreshableVersion="5">
    <extLst>
      <ext xmlns:x15="http://schemas.microsoft.com/office/spreadsheetml/2010/11/main" uri="{DE250136-89BD-433C-8126-D09CA5730AF9}">
        <x15:connection id="aug">
          <x15:rangePr sourceName="_xlcn.WorksheetConnection_work_hours_tracker.xlsmaug1"/>
        </x15:connection>
      </ext>
    </extLst>
  </connection>
  <connection id="4" xr16:uid="{9817E810-62CA-40F3-BA14-6BDC404CEE05}" name="WorksheetConnection_work_hours_tracker.xlsm!dec" type="102" refreshedVersion="8" minRefreshableVersion="5">
    <extLst>
      <ext xmlns:x15="http://schemas.microsoft.com/office/spreadsheetml/2010/11/main" uri="{DE250136-89BD-433C-8126-D09CA5730AF9}">
        <x15:connection id="dec">
          <x15:rangePr sourceName="_xlcn.WorksheetConnection_work_hours_tracker.xlsmdec1"/>
        </x15:connection>
      </ext>
    </extLst>
  </connection>
  <connection id="5" xr16:uid="{52E30840-1B33-44B8-B286-F8B889C1DCB6}" name="WorksheetConnection_work_hours_tracker.xlsm!feb" type="102" refreshedVersion="8" minRefreshableVersion="5">
    <extLst>
      <ext xmlns:x15="http://schemas.microsoft.com/office/spreadsheetml/2010/11/main" uri="{DE250136-89BD-433C-8126-D09CA5730AF9}">
        <x15:connection id="feb">
          <x15:rangePr sourceName="_xlcn.WorksheetConnection_work_hours_tracker.xlsmfeb1"/>
        </x15:connection>
      </ext>
    </extLst>
  </connection>
  <connection id="6" xr16:uid="{643F8BB2-DFD6-4BED-A5D5-31C8EED76182}" name="WorksheetConnection_work_hours_tracker.xlsm!jan" type="102" refreshedVersion="8" minRefreshableVersion="5">
    <extLst>
      <ext xmlns:x15="http://schemas.microsoft.com/office/spreadsheetml/2010/11/main" uri="{DE250136-89BD-433C-8126-D09CA5730AF9}">
        <x15:connection id="jan" autoDelete="1">
          <x15:rangePr sourceName="_xlcn.WorksheetConnection_work_hours_tracker.xlsmjan1"/>
        </x15:connection>
      </ext>
    </extLst>
  </connection>
  <connection id="7" xr16:uid="{6149852B-A783-4655-BAC3-9854F92EE2A4}" name="WorksheetConnection_work_hours_tracker.xlsm!jul" type="102" refreshedVersion="8" minRefreshableVersion="5">
    <extLst>
      <ext xmlns:x15="http://schemas.microsoft.com/office/spreadsheetml/2010/11/main" uri="{DE250136-89BD-433C-8126-D09CA5730AF9}">
        <x15:connection id="jul">
          <x15:rangePr sourceName="_xlcn.WorksheetConnection_work_hours_tracker.xlsmjul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<sst xmlns="http://schemas.openxmlformats.org/spreadsheetml/2006/main" count="150" uniqueCount="25">
  <si>
    <t>Total</t>
  </si>
  <si>
    <t>Start</t>
  </si>
  <si>
    <t>End</t>
  </si>
  <si>
    <t>Break</t>
  </si>
  <si>
    <t>Total hours</t>
  </si>
  <si>
    <t>Date</t>
  </si>
  <si>
    <t>January</t>
  </si>
  <si>
    <t>Overnight (1 if yes)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</si>
  <si>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</si>
  <si>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</si>
  <si>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</si>
  <si>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</si>
  <si>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</si>
  <si>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</si>
  <si>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</si>
  <si>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</si>
  <si>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</si>
  <si>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</si>
  <si>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</si>
  <si>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</si>
  <si>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Total hours worked</t>
  </si>
  <si>
    <t>Hourly rate</t>
  </si>
  <si>
    <t>Gross pay</t>
  </si>
  <si>
    <t>Info</t>
  </si>
  <si>
    <t>Most hours worked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</si>
</sst>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h]:mm"/>
  </numFmts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 applyAlignment="1">
      <alignment horizontal="left" vertic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center"/>
    </xf>
    <xf numFmtId="2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133">
    <dxf>
      <numFmt numFmtId="165" formatCode="[h]:mm"/>
    </dxf>
    <dxf>
      <numFmt numFmtId="165" formatCode="[h]:mm"/>
    </dxf>
    <dxf>
      <fill>
        <patternFill>
          <bgColor rgb="FFFFC000"/>
        </patternFill>
      </fill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  <dxf>
      <numFmt numFmtId="19" formatCode="d/mm/yyyy"/>
    </dxf>
    <dxf>
      <numFmt numFmtId="2" formatCode="0.00"/>
    </dxf>
    <dxf>
      <numFmt numFmtId="2" formatCode="0.00"/>
    </dxf>
    <dxf>
      <numFmt numFmtId="2" formatCode="0.00"/>
    </dxf>
    <dxf>
      <numFmt numFmtId="165" formatCode="[h]:mm"/>
    </dxf>
    <dxf>
      <numFmt numFmtId="165" formatCode="[h]:mm"/>
    </dxf>
    <dxf>
      <numFmt numFmtId="164" formatCode="h:mm;@"/>
    </dxf>
    <dxf>
      <numFmt numFmtId="1" formatCode="0"/>
    </dxf>
    <dxf>
      <numFmt numFmtId="164" formatCode="h:mm;@"/>
    </dxf>
    <dxf>
      <numFmt numFmtId="164" formatCode="h:mm;@"/>
    </dxf>
    <dxf>
      <numFmt numFmtId="19" formatCode="d/mm/yyyy"/>
    </dxf>
    <dxf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Summary!$B$6</c:f>
              <c:strCache>
                <c:ptCount val="1"/>
                <c:pt idx="0">
                  <c:v>Total hours worked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Summary!$A$7:$A$18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Summary!$B$7:$B$18</c:f>
              <c:numCache>
                <c:formatCode>[h]:mm</c:formatCode>
                <c:ptCount val="12"/>
                <c:pt idx="0">
                  <c:v>5.9166666666666661</c:v>
                </c:pt>
                <c:pt idx="1">
                  <c:v>7.145833333333333</c:v>
                </c:pt>
                <c:pt idx="2">
                  <c:v>8.125</c:v>
                </c:pt>
                <c:pt idx="3">
                  <c:v>8.0625</c:v>
                </c:pt>
                <c:pt idx="4">
                  <c:v>7.8749999999999991</c:v>
                </c:pt>
                <c:pt idx="5">
                  <c:v>8.2291666666666679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A-42CD-8236-39239016C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458759440"/>
        <c:axId val="45876472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Summary!$C$6</c15:sqref>
                        </c15:formulaRef>
                      </c:ext>
                    </c:extLst>
                    <c:strCache>
                      <c:ptCount val="1"/>
                      <c:pt idx="0">
                        <c:v>Gross pay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Summary!$A$7:$A$18</c15:sqref>
                        </c15:formulaRef>
                      </c:ext>
                    </c:extLst>
                    <c:strCache>
                      <c:ptCount val="12"/>
                      <c:pt idx="0">
                        <c:v>January</c:v>
                      </c:pt>
                      <c:pt idx="1">
                        <c:v>February</c:v>
                      </c:pt>
                      <c:pt idx="2">
                        <c:v>March</c:v>
                      </c:pt>
                      <c:pt idx="3">
                        <c:v>April</c:v>
                      </c:pt>
                      <c:pt idx="4">
                        <c:v>May</c:v>
                      </c:pt>
                      <c:pt idx="5">
                        <c:v>June</c:v>
                      </c:pt>
                      <c:pt idx="6">
                        <c:v>July</c:v>
                      </c:pt>
                      <c:pt idx="7">
                        <c:v>August</c:v>
                      </c:pt>
                      <c:pt idx="8">
                        <c:v>September</c:v>
                      </c:pt>
                      <c:pt idx="9">
                        <c:v>October</c:v>
                      </c:pt>
                      <c:pt idx="10">
                        <c:v>November</c:v>
                      </c:pt>
                      <c:pt idx="11">
                        <c:v>December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Summary!$C$7:$C$18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4970</c:v>
                      </c:pt>
                      <c:pt idx="1">
                        <c:v>6002.5</c:v>
                      </c:pt>
                      <c:pt idx="2">
                        <c:v>6825</c:v>
                      </c:pt>
                      <c:pt idx="3">
                        <c:v>6772.5</c:v>
                      </c:pt>
                      <c:pt idx="4">
                        <c:v>6614.9999999999991</c:v>
                      </c:pt>
                      <c:pt idx="5">
                        <c:v>6912.5000000000009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C3A-42CD-8236-39239016C93B}"/>
                  </c:ext>
                </c:extLst>
              </c15:ser>
            </c15:filteredBarSeries>
          </c:ext>
        </c:extLst>
      </c:barChart>
      <c:catAx>
        <c:axId val="45875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58764720"/>
        <c:crosses val="autoZero"/>
        <c:auto val="1"/>
        <c:lblAlgn val="ctr"/>
        <c:lblOffset val="100"/>
        <c:noMultiLvlLbl val="0"/>
      </c:catAx>
      <c:valAx>
        <c:axId val="45876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5875944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171450</xdr:rowOff>
    </xdr:from>
    <xdr:to>
      <xdr:col>12</xdr:col>
      <xdr:colOff>91440</xdr:colOff>
      <xdr:row>20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FDD7AB-16F5-3D7C-B96C-2BB3BBC0C2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6EE879-7B6F-4CCE-B3C5-9724CE9A24F7}" name="jan" displayName="jan" ref="A2:F13" headerRowDxfId="132">
  <autoFilter ref="A2:F13" xr:uid="{F10F1BB2-9841-4CA4-9116-B6F75BA428C2}"/>
  <tableColumns count="6">
    <tableColumn id="1" xr3:uid="{3B116087-4973-40E9-A5A7-BC6E67461138}" name="Date" totalsRowLabel="Total" dataDxfId="131"/>
    <tableColumn id="2" xr3:uid="{41BD47FB-3E5D-46BF-97EC-84F4167BA452}" name="Start" dataDxfId="130"/>
    <tableColumn id="3" xr3:uid="{77EAFAB4-BB37-44D9-8725-FE3157EAA3AB}" name="End" dataDxfId="129"/>
    <tableColumn id="5" xr3:uid="{4E77E5B0-6B6A-467A-BACF-1971F15450AF}" name="Overnight (1 if yes)" dataDxfId="128"/>
    <tableColumn id="6" xr3:uid="{8F3B706A-684D-439A-BE7A-0E899AEF774D}" name="Break" dataDxfId="127"/>
    <tableColumn id="7" xr3:uid="{4DE31C09-6441-43EC-A68A-CF72D56131D4}" name="Total hours" totalsRowFunction="sum" dataDxfId="126" totalsRowDxfId="125">
      <calculatedColumnFormula array="1">hours(jan[[#This Row],[Start]],jan[[#This Row],[End]],jan[[#This Row],[Overnight (1 if yes)]])-jan[[#This Row],[Break]]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F0C19F9-D871-4029-A9E9-610828787AF4}" name="t_jan" displayName="t_jan" ref="H2:I3" totalsRowShown="0">
  <autoFilter ref="H2:I3" xr:uid="{5F0C19F9-D871-4029-A9E9-610828787AF4}">
    <filterColumn colId="0" hiddenButton="1"/>
    <filterColumn colId="1" hiddenButton="1"/>
  </autoFilter>
  <tableColumns count="2">
    <tableColumn id="1" xr3:uid="{8BB1F8DE-6592-446B-8ADC-1BFB2CA82274}" name="Total hours worked" dataDxfId="124">
      <calculatedColumnFormula>SUM(jan[Total hours])*24</calculatedColumnFormula>
    </tableColumn>
    <tableColumn id="2" xr3:uid="{68880C27-7376-4A2E-9304-32F8DF166EE1}" name="Gross pay" dataDxfId="123">
      <calculatedColumnFormula array="1">t_jan[[#This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869CC56-2E31-4C37-8351-8026A9AE9307}" name="m_jan" displayName="m_jan" ref="H5:I6" totalsRowShown="0">
  <autoFilter ref="H5:I6" xr:uid="{6869CC56-2E31-4C37-8351-8026A9AE9307}">
    <filterColumn colId="0" hiddenButton="1"/>
    <filterColumn colId="1" hiddenButton="1"/>
  </autoFilter>
  <tableColumns count="2">
    <tableColumn id="1" xr3:uid="{1A09123E-D41B-48C2-9FEB-ACA2DC021FE6}" name="Most hours worked" dataDxfId="122">
      <calculatedColumnFormula>MAX(jan[Total hours])*24</calculatedColumnFormula>
    </tableColumn>
    <tableColumn id="2" xr3:uid="{5410754B-7BC4-4BEB-AF95-49F927AAC21F}" name="Date" dataDxfId="121">
      <calculatedColumnFormula>INDEX(jan[Date], MATCH(MAX(jan[Total hours]), jan[Total hours], 0))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411572-A4B4-4B19-9063-1B5BD3E3036A}" name="feb" displayName="feb" ref="A2:F17" headerRowDxfId="120">
  <autoFilter ref="A2:F17" xr:uid="{F10F1BB2-9841-4CA4-9116-B6F75BA428C2}"/>
  <tableColumns count="6">
    <tableColumn id="1" xr3:uid="{CBE5D486-E96A-4565-AA74-669337BA68C5}" name="Date" totalsRowLabel="Total"/>
    <tableColumn id="2" xr3:uid="{25C418B3-2E54-4FE9-BFAF-7D551B19B074}" name="Start" dataDxfId="119"/>
    <tableColumn id="3" xr3:uid="{9066AEEA-B1BB-4EAB-A053-18BC1C916AE0}" name="End"/>
    <tableColumn id="5" xr3:uid="{79CA0BAB-08AC-481B-B87D-B383A7DB6250}" name="Overnight (1 if yes)" dataDxfId="118"/>
    <tableColumn id="6" xr3:uid="{0D241BE5-708D-4A00-A4DE-AD05CF4EA24A}" name="Break" dataDxfId="117"/>
    <tableColumn id="7" xr3:uid="{A9FFFBEB-CE9A-447E-A395-4EC7A4E27EF4}" name="Total hours" totalsRowFunction="sum" dataDxfId="116" totalsRowDxfId="115">
      <calculatedColumnFormula array="1">hours(feb[[#This Row],[Start]],feb[[#This Row],[End]],feb[[#This Row],[Overnight (1 if yes)]])-feb[[#This Row],[Break]]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F33F8FA-5CE2-4CD3-8F5B-30515884E19B}" name="t_feb" displayName="t_feb" ref="H2:I3" totalsRowShown="0">
  <autoFilter ref="H2:I3" xr:uid="{3F33F8FA-5CE2-4CD3-8F5B-30515884E19B}">
    <filterColumn colId="0" hiddenButton="1"/>
    <filterColumn colId="1" hiddenButton="1"/>
  </autoFilter>
  <tableColumns count="2">
    <tableColumn id="1" xr3:uid="{6208EFD6-3F29-4B90-BAB5-77FCFD1DA98C}" name="Total hours worked" dataDxfId="114"/>
    <tableColumn id="2" xr3:uid="{E2E685BA-6D4B-4472-B338-2C1D137B3B7E}" name="Gross pay" dataDxfId="113">
      <calculatedColumnFormula array="1">t_feb[[#This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71F3E11A-0EBB-47FD-AA5C-802DB91F08CF}" name="m_feb" displayName="m_feb" ref="H5:I6" totalsRowShown="0">
  <autoFilter ref="H5:I6" xr:uid="{71F3E11A-0EBB-47FD-AA5C-802DB91F08CF}">
    <filterColumn colId="0" hiddenButton="1"/>
    <filterColumn colId="1" hiddenButton="1"/>
  </autoFilter>
  <tableColumns count="2">
    <tableColumn id="1" xr3:uid="{2F582B29-C3FE-4E7F-8309-2B242A9D3E15}" name="Most hours worked" dataDxfId="112"/>
    <tableColumn id="2" xr3:uid="{B3064599-49B6-4710-BEFA-72A69DAFBDEB}" name="Date" dataDxfId="11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6FDE48C-8650-4B07-9136-F8E237E4F0B5}" name="mar" displayName="mar" ref="A2:F17" headerRowDxfId="110">
  <autoFilter ref="A2:F17" xr:uid="{F10F1BB2-9841-4CA4-9116-B6F75BA428C2}"/>
  <tableColumns count="6">
    <tableColumn id="1" xr3:uid="{2D193578-2CAA-41C3-BB3C-B7FBE1BA8B19}" name="Date" totalsRowLabel="Total"/>
    <tableColumn id="2" xr3:uid="{914D6DFA-6B77-41C0-9505-422EBF89C02A}" name="Start"/>
    <tableColumn id="3" xr3:uid="{E98465AD-170E-4EE3-BA77-F9EDC86EA81C}" name="End"/>
    <tableColumn id="5" xr3:uid="{F6ED03A3-9ED1-4F71-BFCA-CFA2129D06FB}" name="Overnight (1 if yes)" dataDxfId="109"/>
    <tableColumn id="6" xr3:uid="{46706675-5A10-47A4-A0F9-1B21A953E0F0}" name="Break" dataDxfId="108"/>
    <tableColumn id="7" xr3:uid="{F9D811F3-96AA-48E3-80F0-76A9427A899E}" name="Total hours" totalsRowFunction="sum" dataDxfId="107" totalsRowDxfId="106">
      <calculatedColumnFormula array="1">hours(mar[[#This Row],[Start]],mar[[#This Row],[End]],mar[[#This Row],[Overnight (1 if yes)]])-mar[[#This Row],[Break]]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3A938F4-720F-474F-AC35-73D7D346BF06}" name="t_mar" displayName="t_mar" ref="H2:I3" totalsRowShown="0">
  <autoFilter ref="H2:I3" xr:uid="{F3A938F4-720F-474F-AC35-73D7D346BF06}">
    <filterColumn colId="0" hiddenButton="1"/>
    <filterColumn colId="1" hiddenButton="1"/>
  </autoFilter>
  <tableColumns count="2">
    <tableColumn id="1" xr3:uid="{84B0F65C-092A-4FA5-9569-606CEB53114B}" name="Total hours worked" dataDxfId="105">
      <calculatedColumnFormula>SUM(mar[Total hours])*24</calculatedColumnFormula>
    </tableColumn>
    <tableColumn id="2" xr3:uid="{7DA7196B-E8AC-4076-BAC1-E3AE848D576B}" name="Gross pay" dataDxfId="104">
      <calculatedColumnFormula array="1">t_mar[[#This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7837C8C-9E9D-47CC-AFA3-0CC8E03F6812}" name="m_mar" displayName="m_mar" ref="H5:I6" totalsRowShown="0">
  <autoFilter ref="H5:I6" xr:uid="{C7837C8C-9E9D-47CC-AFA3-0CC8E03F6812}">
    <filterColumn colId="0" hiddenButton="1"/>
    <filterColumn colId="1" hiddenButton="1"/>
  </autoFilter>
  <tableColumns count="2">
    <tableColumn id="1" xr3:uid="{E299B1D7-DC9F-43F4-A2FD-34F5B3CD851A}" name="Most hours worked" dataDxfId="103">
      <calculatedColumnFormula>MAX(mar[Total hours])*24</calculatedColumnFormula>
    </tableColumn>
    <tableColumn id="2" xr3:uid="{3A72269E-3299-486C-9D60-AC74C44899A6}" name="Date" dataDxfId="102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678B9B2-6C82-4B87-A9B8-7F15BE28A24C}" name="apr" displayName="apr" ref="A2:F17" headerRowDxfId="101">
  <autoFilter ref="A2:F17" xr:uid="{F10F1BB2-9841-4CA4-9116-B6F75BA428C2}"/>
  <tableColumns count="6">
    <tableColumn id="1" xr3:uid="{8C2C516B-F867-48F5-B654-4292049EF945}" name="Date" totalsRowLabel="Total"/>
    <tableColumn id="2" xr3:uid="{F0DF08E7-7082-4FEB-BFA3-9374225EA098}" name="Start"/>
    <tableColumn id="3" xr3:uid="{EE06E988-8E4B-4F06-BE25-00103C081AF3}" name="End"/>
    <tableColumn id="5" xr3:uid="{35CC0985-63F3-4EDD-8800-C3E935121C2F}" name="Overnight (1 if yes)" dataDxfId="100"/>
    <tableColumn id="6" xr3:uid="{FAE87C03-E24A-4E4A-A930-1A1918D3DA5E}" name="Break" dataDxfId="99"/>
    <tableColumn id="7" xr3:uid="{69DE5FEC-081A-4514-9000-4A920CA34C46}" name="Total hours" totalsRowFunction="sum" dataDxfId="98" totalsRowDxfId="97">
      <calculatedColumnFormula array="1">hours(apr[[#This Row],[Start]],apr[[#This Row],[End]],apr[[#This Row],[Overnight (1 if yes)]])-apr[[#This Row],[Break]]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E3A6E2F-FBD4-490B-B5D3-FE88D7D83447}" name="t_apr" displayName="t_apr" ref="H2:I3" totalsRowShown="0">
  <autoFilter ref="H2:I3" xr:uid="{7E3A6E2F-FBD4-490B-B5D3-FE88D7D83447}">
    <filterColumn colId="0" hiddenButton="1"/>
    <filterColumn colId="1" hiddenButton="1"/>
  </autoFilter>
  <tableColumns count="2">
    <tableColumn id="1" xr3:uid="{DF9F0C77-0C96-4062-8D48-D84DBAC715E0}" name="Total hours worked" dataDxfId="96"/>
    <tableColumn id="2" xr3:uid="{87ACD2CB-B35A-4B29-9B40-EFA99CDEE245}" name="Gross pay" dataDxfId="95">
      <calculatedColumnFormula array="1">t_apr[[#This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4FDEEC5-9C22-4144-A652-2287F5F04FAB}" name="m_apr" displayName="m_apr" ref="H5:I6" totalsRowShown="0">
  <autoFilter ref="H5:I6" xr:uid="{94FDEEC5-9C22-4144-A652-2287F5F04FAB}">
    <filterColumn colId="0" hiddenButton="1"/>
    <filterColumn colId="1" hiddenButton="1"/>
  </autoFilter>
  <tableColumns count="2">
    <tableColumn id="1" xr3:uid="{1AEBD844-5D7E-439C-8DD2-6D30B2A9B7A1}" name="Most hours worked" dataDxfId="94"/>
    <tableColumn id="2" xr3:uid="{628A1486-C58A-402E-92B5-11E3DA32E1CE}" name="Date" dataDxfId="93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D5AD3C-9817-493F-BCF4-1A568AA0D0F5}" name="may" displayName="may" ref="A2:F17" headerRowDxfId="92">
  <autoFilter ref="A2:F17" xr:uid="{F10F1BB2-9841-4CA4-9116-B6F75BA428C2}"/>
  <tableColumns count="6">
    <tableColumn id="1" xr3:uid="{575D1F66-978F-4A75-A2EA-2CE7194B2095}" name="Date" totalsRowLabel="Total"/>
    <tableColumn id="2" xr3:uid="{356820A2-BE16-4B74-9767-2E8F74025179}" name="Start"/>
    <tableColumn id="3" xr3:uid="{E4E66E16-D069-42B1-AD9E-9F1151EB46F9}" name="End"/>
    <tableColumn id="5" xr3:uid="{80D1E97E-499C-4B2F-9A7F-635B9C6D167E}" name="Overnight (1 if yes)" dataDxfId="91"/>
    <tableColumn id="6" xr3:uid="{5A70C100-431A-485F-AF22-4218137B64E7}" name="Break" dataDxfId="90"/>
    <tableColumn id="7" xr3:uid="{B38FAD25-AAFD-48BF-A86D-91C58A2D7117}" name="Total hours" totalsRowFunction="sum" dataDxfId="89" totalsRowDxfId="88">
      <calculatedColumnFormula array="1">hours(may[[#This Row],[Start]],may[[#This Row],[End]],may[[#This Row],[Overnight (1 if yes)]])-may[[#This Row],[Break]]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2E5BCE9-B66B-4725-A3C2-C8874AAF87A4}" name="t_may" displayName="t_may" ref="H2:I3" totalsRowShown="0">
  <autoFilter ref="H2:I3" xr:uid="{22E5BCE9-B66B-4725-A3C2-C8874AAF87A4}">
    <filterColumn colId="0" hiddenButton="1"/>
    <filterColumn colId="1" hiddenButton="1"/>
  </autoFilter>
  <tableColumns count="2">
    <tableColumn id="1" xr3:uid="{39C1DE88-C384-4727-BEA5-033CD9B3D767}" name="Total hours worked" dataDxfId="87"/>
    <tableColumn id="2" xr3:uid="{0AEFB3A7-2B03-4612-B6F1-365DCEFBD30B}" name="Gross pay" dataDxfId="86">
      <calculatedColumnFormula array="1">t_may[[#This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18245EE-C07E-4351-85B6-1EED73A3D48D}" name="m_may" displayName="m_may" ref="H5:I6" totalsRowShown="0">
  <autoFilter ref="H5:I6" xr:uid="{718245EE-C07E-4351-85B6-1EED73A3D48D}">
    <filterColumn colId="0" hiddenButton="1"/>
    <filterColumn colId="1" hiddenButton="1"/>
  </autoFilter>
  <tableColumns count="2">
    <tableColumn id="1" xr3:uid="{D0F20EC6-A383-4210-BA13-2E15ED4A96C7}" name="Most hours worked" dataDxfId="85"/>
    <tableColumn id="2" xr3:uid="{565AFB63-5975-4489-870B-F2FE6BD87368}" name="Date" dataDxfId="84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4DE1419-E64C-4D68-B367-A7305BAEEA83}" name="jun" displayName="jun" ref="A2:F17" headerRowDxfId="83">
  <autoFilter ref="A2:F17" xr:uid="{F10F1BB2-9841-4CA4-9116-B6F75BA428C2}"/>
  <tableColumns count="6">
    <tableColumn id="1" xr3:uid="{4F104FD8-8175-4015-BF77-F5AE32FB44D4}" name="Date" totalsRowLabel="Total"/>
    <tableColumn id="2" xr3:uid="{491EBB2D-C543-4B83-BB61-39FF4760115F}" name="Start"/>
    <tableColumn id="3" xr3:uid="{A909EB46-FCF0-4D18-9C39-803D0C4E85A1}" name="End"/>
    <tableColumn id="5" xr3:uid="{DF05EA71-093D-4FDE-86AC-77FD65DCE030}" name="Overnight (1 if yes)" dataDxfId="82"/>
    <tableColumn id="6" xr3:uid="{BA26F397-9885-4521-A8A9-86285245B2C6}" name="Break" dataDxfId="81"/>
    <tableColumn id="7" xr3:uid="{6787DC60-CDC5-4B56-8C3F-8EC3AAC659EC}" name="Total hours" totalsRowFunction="sum" dataDxfId="80" totalsRowDxfId="79">
      <calculatedColumnFormula array="1">hours(jun[[#This Row],[Start]],jun[[#This Row],[End]],jun[[#This Row],[Overnight (1 if yes)]])-jun[[#This Row],[Break]]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D5B1DB23-93D3-46F1-87E4-69A65E60279C}" name="t_jun" displayName="t_jun" ref="H2:I3" totalsRowShown="0">
  <autoFilter ref="H2:I3" xr:uid="{D5B1DB23-93D3-46F1-87E4-69A65E60279C}">
    <filterColumn colId="0" hiddenButton="1"/>
    <filterColumn colId="1" hiddenButton="1"/>
  </autoFilter>
  <tableColumns count="2">
    <tableColumn id="1" xr3:uid="{1C7902D3-F304-4702-A61C-D3CEFE56883A}" name="Total hours worked" dataDxfId="78"/>
    <tableColumn id="2" xr3:uid="{D2AA19B4-621A-4819-8528-6B00EF4AC359}" name="Gross pay" dataDxfId="77">
      <calculatedColumnFormula array="1">t_jun[[#This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40F310B-5C3D-4369-8D00-99CC179D0E71}" name="m_jun" displayName="m_jun" ref="H5:I6" totalsRowShown="0">
  <autoFilter ref="H5:I6" xr:uid="{040F310B-5C3D-4369-8D00-99CC179D0E71}">
    <filterColumn colId="0" hiddenButton="1"/>
    <filterColumn colId="1" hiddenButton="1"/>
  </autoFilter>
  <tableColumns count="2">
    <tableColumn id="1" xr3:uid="{1D933859-17F2-4302-9E90-F3F4B2A2D498}" name="Most hours worked" dataDxfId="76"/>
    <tableColumn id="2" xr3:uid="{7C5967F5-C74A-4B62-B657-1DE81C93FB41}" name="Date" dataDxfId="7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5AF288-E615-4AF0-9718-F7D334ACF668}" name="jul" displayName="jul" ref="A2:F3" headerRowDxfId="74">
  <autoFilter ref="A2:F3" xr:uid="{F10F1BB2-9841-4CA4-9116-B6F75BA428C2}"/>
  <tableColumns count="6">
    <tableColumn id="1" xr3:uid="{D5CEBB89-684E-4A8F-969C-4199817A56F6}" name="Date" totalsRowLabel="Total" dataDxfId="73"/>
    <tableColumn id="2" xr3:uid="{0B89F3BC-D5F5-4F05-9203-CF0574FA1B37}" name="Start" dataDxfId="72"/>
    <tableColumn id="3" xr3:uid="{A7E981F9-C15A-4934-8284-FFAD392DDEFC}" name="End" dataDxfId="71"/>
    <tableColumn id="5" xr3:uid="{A49E0D9B-9BD5-4F75-83FE-BF0D8119E75E}" name="Overnight (1 if yes)" dataDxfId="70"/>
    <tableColumn id="6" xr3:uid="{D6AB4250-4568-46B5-9989-FC1B79EACFBE}" name="Break" dataDxfId="69"/>
    <tableColumn id="7" xr3:uid="{80352586-8671-4AC5-8452-9330B1D06CEF}" name="Total hours" totalsRowFunction="sum" dataDxfId="68" totalsRowDxfId="67">
      <calculatedColumnFormula array="1">hours(jul[[#This Row],[Start]],jul[[#This Row],[End]],jul[[#This Row],[Overnight (1 if yes)]])-jul[[#This Row],[Break]]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10243C0-0AF1-4920-B8E8-AC5C20D29E0C}" name="t_jul" displayName="t_jul" ref="H2:I3" totalsRowShown="0">
  <autoFilter ref="H2:I3" xr:uid="{110243C0-0AF1-4920-B8E8-AC5C20D29E0C}">
    <filterColumn colId="0" hiddenButton="1"/>
    <filterColumn colId="1" hiddenButton="1"/>
  </autoFilter>
  <tableColumns count="2">
    <tableColumn id="1" xr3:uid="{DC1E6E34-C2AE-424D-9728-FC73B7CB863A}" name="Total hours worked" dataDxfId="66"/>
    <tableColumn id="2" xr3:uid="{BFA5B2BB-29BD-4C48-AB9A-BDBB2C5C7F33}" name="Gross pay" dataDxfId="65">
      <calculatedColumnFormula array="1">t_jul[[#This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8C4E1763-81E4-41AE-8B24-A52B6ECD50C8}" name="m_jul" displayName="m_jul" ref="H5:I6" totalsRowShown="0">
  <autoFilter ref="H5:I6" xr:uid="{8C4E1763-81E4-41AE-8B24-A52B6ECD50C8}">
    <filterColumn colId="0" hiddenButton="1"/>
    <filterColumn colId="1" hiddenButton="1"/>
  </autoFilter>
  <tableColumns count="2">
    <tableColumn id="1" xr3:uid="{3D8F7E5B-CC7E-4CB0-B2E5-74381D81F56A}" name="Most hours worked" dataDxfId="64"/>
    <tableColumn id="2" xr3:uid="{046D86A6-B273-4E3F-A64B-D942E9C27FEE}" name="Date" dataDxfId="63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F9E609-A56D-4656-AEDC-1489CBD21657}" name="aug" displayName="aug" ref="A2:F3" headerRowDxfId="62">
  <autoFilter ref="A2:F3" xr:uid="{F10F1BB2-9841-4CA4-9116-B6F75BA428C2}"/>
  <tableColumns count="6">
    <tableColumn id="1" xr3:uid="{342D5D1E-BE9A-4C3E-9470-A6B662A8CA72}" name="Date" totalsRowLabel="Total" dataDxfId="61"/>
    <tableColumn id="2" xr3:uid="{C8F6FB59-BD99-4743-8322-A232F8610F65}" name="Start" dataDxfId="60"/>
    <tableColumn id="3" xr3:uid="{B2DB26D6-A6C3-4F9F-B4A4-71ACBFDE2A61}" name="End" dataDxfId="59"/>
    <tableColumn id="5" xr3:uid="{EF63B183-C40F-404B-A4C2-5CCA0D388889}" name="Overnight (1 if yes)" dataDxfId="58"/>
    <tableColumn id="6" xr3:uid="{C156297F-8CCD-4C83-8317-D8B330934F90}" name="Break" dataDxfId="57"/>
    <tableColumn id="7" xr3:uid="{7CC27932-B795-441C-B143-BD7754D62BC4}" name="Total hours" totalsRowFunction="sum" dataDxfId="56" totalsRowDxfId="55">
      <calculatedColumnFormula array="1">hours(aug[[#This Row],[Start]],aug[[#This Row],[End]],aug[[#This Row],[Overnight (1 if yes)]])-aug[[#This Row],[Break]]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F251D060-755A-432B-9DF1-ABEF925081B0}" name="t_aug" displayName="t_aug" ref="H2:I3" totalsRowShown="0">
  <autoFilter ref="H2:I3" xr:uid="{F251D060-755A-432B-9DF1-ABEF925081B0}">
    <filterColumn colId="0" hiddenButton="1"/>
    <filterColumn colId="1" hiddenButton="1"/>
  </autoFilter>
  <tableColumns count="2">
    <tableColumn id="1" xr3:uid="{C05D8D70-C1E9-497F-BC55-831541F04437}" name="Total hours worked" dataDxfId="54"/>
    <tableColumn id="2" xr3:uid="{C356DB35-EBF6-4A42-B01E-BE27488299EC}" name="Gross pay" dataDxfId="53">
      <calculatedColumnFormula array="1">t_aug[[#This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F6045502-7DA7-431E-AED3-9FBF90F32259}" name="m_aug" displayName="m_aug" ref="H5:I6" totalsRowShown="0">
  <autoFilter ref="H5:I6" xr:uid="{F6045502-7DA7-431E-AED3-9FBF90F32259}">
    <filterColumn colId="0" hiddenButton="1"/>
    <filterColumn colId="1" hiddenButton="1"/>
  </autoFilter>
  <tableColumns count="2">
    <tableColumn id="1" xr3:uid="{E6378E99-1623-497D-A617-F99EB9373840}" name="Most hours worked" dataDxfId="52"/>
    <tableColumn id="2" xr3:uid="{FC346E4B-DA27-4F79-BADF-35FA55FD5916}" name="Date" dataDxfId="51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D6600EF-FF96-4991-9E0B-7D6574D05C52}" name="sep" displayName="sep" ref="A2:F3" headerRowDxfId="50">
  <autoFilter ref="A2:F3" xr:uid="{F10F1BB2-9841-4CA4-9116-B6F75BA428C2}"/>
  <tableColumns count="6">
    <tableColumn id="1" xr3:uid="{7E7F1E20-6F01-475C-8E06-074280392B0A}" name="Date" totalsRowLabel="Total" dataDxfId="49"/>
    <tableColumn id="2" xr3:uid="{4495F78F-0737-463B-B1A3-D49B169E5670}" name="Start" dataDxfId="48"/>
    <tableColumn id="3" xr3:uid="{6E12673E-FEB2-4435-B353-C3D10589FF62}" name="End" dataDxfId="47"/>
    <tableColumn id="5" xr3:uid="{9DD66332-D0C7-44C9-A15B-73C90BC07F53}" name="Overnight (1 if yes)" dataDxfId="46"/>
    <tableColumn id="6" xr3:uid="{B5ACD61A-DDEA-42FB-94D2-0B4E849CF16C}" name="Break" dataDxfId="45"/>
    <tableColumn id="7" xr3:uid="{C663B4EA-425B-4C7A-990B-5ACEB6DFFC8F}" name="Total hours" totalsRowFunction="sum" dataDxfId="44" totalsRowDxfId="43">
      <calculatedColumnFormula array="1">hours(sep[[#This Row],[Start]],sep[[#This Row],[End]],sep[[#This Row],[Overnight (1 if yes)]])-sep[[#This Row],[Break]]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5F0644A-F90A-40DB-B347-4F15E8F05512}" name="t_sep" displayName="t_sep" ref="H2:I3" totalsRowShown="0">
  <autoFilter ref="H2:I3" xr:uid="{35F0644A-F90A-40DB-B347-4F15E8F05512}">
    <filterColumn colId="0" hiddenButton="1"/>
    <filterColumn colId="1" hiddenButton="1"/>
  </autoFilter>
  <tableColumns count="2">
    <tableColumn id="1" xr3:uid="{4B1DE68F-4F7A-4C81-90A0-A7A35ECE3102}" name="Total hours worked" dataDxfId="42"/>
    <tableColumn id="2" xr3:uid="{00B74311-6EF7-48FF-9043-09D196ACC660}" name="Gross pay" dataDxfId="41">
      <calculatedColumnFormula array="1">t_sep[[#This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99A1A2C-1152-437F-B498-589FE417392D}" name="m_sep" displayName="m_sep" ref="H5:I6" totalsRowShown="0">
  <autoFilter ref="H5:I6" xr:uid="{B99A1A2C-1152-437F-B498-589FE417392D}">
    <filterColumn colId="0" hiddenButton="1"/>
    <filterColumn colId="1" hiddenButton="1"/>
  </autoFilter>
  <tableColumns count="2">
    <tableColumn id="1" xr3:uid="{CF414F1E-9E2D-4CA3-A030-700A0CD4E9A5}" name="Most hours worked" dataDxfId="40"/>
    <tableColumn id="2" xr3:uid="{E694100D-078B-49F8-89A9-362ABFBD3911}" name="Date" dataDxfId="39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42952B-D9B1-4145-818C-1A1C1F44CBD7}" name="oct" displayName="oct" ref="A2:F3" headerRowDxfId="38">
  <autoFilter ref="A2:F3" xr:uid="{F10F1BB2-9841-4CA4-9116-B6F75BA428C2}"/>
  <tableColumns count="6">
    <tableColumn id="1" xr3:uid="{40F2B605-1516-4113-8D7F-EA5CC7CF246A}" name="Date" totalsRowLabel="Total" dataDxfId="37"/>
    <tableColumn id="2" xr3:uid="{16D0F93D-7D5E-4CC4-872E-E020B7DF6D2D}" name="Start" dataDxfId="36"/>
    <tableColumn id="3" xr3:uid="{0DAD6364-059A-492D-AAAF-3F58DFAE5768}" name="End" dataDxfId="35"/>
    <tableColumn id="5" xr3:uid="{01A7E690-9EFF-4D45-B720-DC1E4EA41DC8}" name="Overnight (1 if yes)" dataDxfId="34"/>
    <tableColumn id="6" xr3:uid="{61E48133-FA9F-4172-A6DC-9E2016869ACD}" name="Break" dataDxfId="33"/>
    <tableColumn id="7" xr3:uid="{98B8FC3D-321A-453F-8DA1-A98D6AA64514}" name="Total hours" totalsRowFunction="sum" dataDxfId="32" totalsRowDxfId="31">
      <calculatedColumnFormula array="1">hours(oct[[#This Row],[Start]],oct[[#This Row],[End]],oct[[#This Row],[Overnight (1 if yes)]])-oct[[#This Row],[Break]]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2C8C2F8-6720-4FF2-9513-4A21C44C7CA0}" name="t_oct" displayName="t_oct" ref="H2:I3" totalsRowShown="0">
  <autoFilter ref="H2:I3" xr:uid="{42C8C2F8-6720-4FF2-9513-4A21C44C7CA0}">
    <filterColumn colId="0" hiddenButton="1"/>
    <filterColumn colId="1" hiddenButton="1"/>
  </autoFilter>
  <tableColumns count="2">
    <tableColumn id="1" xr3:uid="{F365FA3A-AD41-45E2-8062-D5BB930F110B}" name="Total hours worked" dataDxfId="30"/>
    <tableColumn id="2" xr3:uid="{1A5239A2-148A-4F0E-BDB2-E5F94323D7B0}" name="Gross pay" dataDxfId="29">
      <calculatedColumnFormula array="1">t_oct[[#This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6835FF9-C811-4C51-9F87-D2353489B680}" name="m_oct" displayName="m_oct" ref="H5:I6" totalsRowShown="0">
  <autoFilter ref="H5:I6" xr:uid="{A6835FF9-C811-4C51-9F87-D2353489B680}">
    <filterColumn colId="0" hiddenButton="1"/>
    <filterColumn colId="1" hiddenButton="1"/>
  </autoFilter>
  <tableColumns count="2">
    <tableColumn id="1" xr3:uid="{952AF743-4F3B-4845-9D1D-5C7A19DEBCCD}" name="Most hours worked" dataDxfId="28"/>
    <tableColumn id="2" xr3:uid="{44A174D6-71A6-4F07-8252-C4CCF5E7F1F0}" name="Date" dataDxfId="27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658359-CBF7-4338-B199-941EC6600E48}" name="nov" displayName="nov" ref="A2:F3" headerRowDxfId="26">
  <autoFilter ref="A2:F3" xr:uid="{F10F1BB2-9841-4CA4-9116-B6F75BA428C2}"/>
  <tableColumns count="6">
    <tableColumn id="1" xr3:uid="{F303A18B-8CA1-4ECE-A3FB-273122D0DC93}" name="Date" totalsRowLabel="Total" dataDxfId="25"/>
    <tableColumn id="2" xr3:uid="{70FC8B9C-CE3E-466F-BCFA-5EA03344C10D}" name="Start" dataDxfId="24"/>
    <tableColumn id="3" xr3:uid="{7114A884-1749-45AF-8EAC-53AE96356CCE}" name="End" dataDxfId="23"/>
    <tableColumn id="5" xr3:uid="{5BF11030-AF71-4F0C-93EF-5B33670542E9}" name="Overnight (1 if yes)" dataDxfId="22"/>
    <tableColumn id="6" xr3:uid="{52E98402-D682-4608-BFF6-CFF45AFB2539}" name="Break" dataDxfId="21"/>
    <tableColumn id="7" xr3:uid="{5501206E-32E9-4719-9DC7-380E161820F8}" name="Total hours" totalsRowFunction="sum" dataDxfId="20" totalsRowDxfId="19">
      <calculatedColumnFormula array="1">hours(nov[[#This Row],[Start]],nov[[#This Row],[End]],nov[[#This Row],[Overnight (1 if yes)]])-nov[[#This Row],[Break]]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A1A16AE-55AF-4B2C-9503-5E5B3166B4EB}" name="t_nov" displayName="t_nov" ref="H2:I3" totalsRowShown="0">
  <autoFilter ref="H2:I3" xr:uid="{5A1A16AE-55AF-4B2C-9503-5E5B3166B4EB}">
    <filterColumn colId="0" hiddenButton="1"/>
    <filterColumn colId="1" hiddenButton="1"/>
  </autoFilter>
  <tableColumns count="2">
    <tableColumn id="1" xr3:uid="{467DF425-A3BD-489A-9183-A5D30E79DEAD}" name="Total hours worked" dataDxfId="18"/>
    <tableColumn id="2" xr3:uid="{C6D00394-4721-485E-B1B9-4A828CC4FF49}" name="Gross pay" dataDxfId="17">
      <calculatedColumnFormula array="1">t_nov[[#This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0C03B08-E51E-4AC6-8142-79AE510B2F90}" name="m_nov" displayName="m_nov" ref="H5:I6" totalsRowShown="0">
  <autoFilter ref="H5:I6" xr:uid="{A0C03B08-E51E-4AC6-8142-79AE510B2F90}">
    <filterColumn colId="0" hiddenButton="1"/>
    <filterColumn colId="1" hiddenButton="1"/>
  </autoFilter>
  <tableColumns count="2">
    <tableColumn id="1" xr3:uid="{A0425805-5857-4B6E-B6EB-F146EEB84A34}" name="Most hours worked" dataDxfId="16"/>
    <tableColumn id="2" xr3:uid="{441BEDC6-2731-4506-AFCF-4224C275B80E}" name="Date" dataDxfId="15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0F1BB2-9841-4CA4-9116-B6F75BA428C2}" name="dec" displayName="dec" ref="A2:F3" headerRowDxfId="14">
  <autoFilter ref="A2:F3" xr:uid="{F10F1BB2-9841-4CA4-9116-B6F75BA428C2}"/>
  <tableColumns count="6">
    <tableColumn id="1" xr3:uid="{277F705B-732A-4223-AFED-F15EE847424B}" name="Date" totalsRowLabel="Total" dataDxfId="13"/>
    <tableColumn id="2" xr3:uid="{161B9BF3-DC62-4319-948A-D4875B0CE5D5}" name="Start" dataDxfId="12"/>
    <tableColumn id="3" xr3:uid="{729E7C0B-330F-437F-8F6E-3D94648AC8CD}" name="End" dataDxfId="11"/>
    <tableColumn id="5" xr3:uid="{B47B323F-A579-4B10-A56B-1126D4413F9D}" name="Overnight (1 if yes)" dataDxfId="10"/>
    <tableColumn id="6" xr3:uid="{BA95A301-65CD-450F-891B-65764B12BFC1}" name="Break" dataDxfId="9"/>
    <tableColumn id="7" xr3:uid="{C9A7C2F8-8B4F-4447-A17A-98FE0F3F9B99}" name="Total hours" totalsRowFunction="sum" dataDxfId="8" totalsRowDxfId="7">
      <calculatedColumnFormula array="1">hours(dec[[#This Row],[Start]],dec[[#This Row],[End]],dec[[#This Row],[Overnight (1 if yes)]])-dec[[#This Row],[Break]]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0BDA315-67AE-443A-A931-226CB4E2244F}" name="t_dec" displayName="t_dec" ref="H2:I3" totalsRowShown="0">
  <autoFilter ref="H2:I3" xr:uid="{20BDA315-67AE-443A-A931-226CB4E2244F}">
    <filterColumn colId="0" hiddenButton="1"/>
    <filterColumn colId="1" hiddenButton="1"/>
  </autoFilter>
  <tableColumns count="2">
    <tableColumn id="1" xr3:uid="{CC107199-7385-419C-BEBB-7436E5ADB418}" name="Total hours worked" dataDxfId="6"/>
    <tableColumn id="2" xr3:uid="{74E2B047-E402-4670-80FD-A649FB67194F}" name="Gross pay" dataDxfId="5">
      <calculatedColumnFormula array="1">t_dec[[#This Row],[Total hours worked]]*info[Hourly rate]</calculatedColumnFormula>
    </tableColumn>
  </tableColumns>
  <tableStyleInfo name="TableStyleMedium4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AEB955A-4978-46AD-9DDB-C728DA7C2F1A}" name="m_dec" displayName="m_dec" ref="H5:I6" totalsRowShown="0">
  <autoFilter ref="H5:I6" xr:uid="{4AEB955A-4978-46AD-9DDB-C728DA7C2F1A}">
    <filterColumn colId="0" hiddenButton="1"/>
    <filterColumn colId="1" hiddenButton="1"/>
  </autoFilter>
  <tableColumns count="2">
    <tableColumn id="1" xr3:uid="{F1FF97D7-39B9-4C44-9C36-B63C368A9EA5}" name="Most hours worked" dataDxfId="4"/>
    <tableColumn id="2" xr3:uid="{BDEA6EA0-E762-44CB-B7E9-CE459C89769B}" name="Date" dataDxfId="3"/>
  </tableColumns>
  <tableStyleInfo name="TableStyleMedium6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06F33E-37C6-4D89-ADFF-432A95030700}" name="months" displayName="months" ref="A6:C19" totalsRowCount="1">
  <autoFilter ref="A6:C18" xr:uid="{9A06F33E-37C6-4D89-ADFF-432A95030700}"/>
  <tableColumns count="3">
    <tableColumn id="1" xr3:uid="{A66DDDD0-A7AF-44B9-88B5-3A9AA5595FD5}" name="Month" totalsRowLabel="Total"/>
    <tableColumn id="2" xr3:uid="{B4ADD6D9-5912-4BEE-BA69-47A508078655}" name="Total hours worked" totalsRowFunction="sum" dataDxfId="1" totalsRowDxfId="0">
      <calculatedColumnFormula>SUM(dec[Total hours])</calculatedColumnFormula>
    </tableColumn>
    <tableColumn id="3" xr3:uid="{5BFD25F3-950D-4A27-BB7D-FEE60F6AAB5C}" name="Gross pay" totalsRowFunction="sum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189B00C-E7CE-402F-9D6F-8BEFF9C87D4B}" name="info" displayName="info" ref="A2:A3" totalsRowShown="0">
  <autoFilter ref="A2:A3" xr:uid="{D189B00C-E7CE-402F-9D6F-8BEFF9C87D4B}">
    <filterColumn colId="0" hiddenButton="1"/>
  </autoFilter>
  <tableColumns count="1">
    <tableColumn id="1" xr3:uid="{149E898C-0936-4F1D-BF85-3CADA9ACD2AE}" name="Hourly r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5A9A-CF18-4016-814C-41BA26FAA962}">
  <sheetPr codeName="Sheet12"/>
  <dimension ref="A1:I13"/>
  <sheetViews>
    <sheetView workbookViewId="0">
      <selection activeCell="D18" sqref="D18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6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>
        <v>45665</v>
      </c>
      <c r="B3" s="3">
        <v>0.33333333333333331</v>
      </c>
      <c r="C3" s="3">
        <v>0.91666666666666663</v>
      </c>
      <c r="D3" s="8"/>
      <c r="E3" s="3"/>
      <c r="F3" s="4" cm="1">
        <f t="array" ref="F3">hours(jan[[#This Row],[Start]],jan[[#This Row],[End]],jan[[#This Row],[Overnight (1 if yes)]])-jan[[#This Row],[Break]]</f>
        <v>0.58333333333333326</v>
      </c>
      <c r="H3" s="5">
        <f>SUM(jan[Total hours])*24</f>
        <v>142</v>
      </c>
      <c r="I3" s="5" cm="1">
        <f t="array" ref="I3">t_jan[[#This Row],[Total hours worked]]*info[Hourly rate]</f>
        <v>4970</v>
      </c>
    </row>
    <row r="4" spans="1:9" x14ac:dyDescent="0.3">
      <c r="A4" s="2">
        <v>45666</v>
      </c>
      <c r="B4" s="3">
        <v>0.29166666666666669</v>
      </c>
      <c r="C4" s="3">
        <v>0.125</v>
      </c>
      <c r="D4" s="8">
        <v>1</v>
      </c>
      <c r="E4" s="3"/>
      <c r="F4" s="4" cm="1">
        <f t="array" ref="F4">hours(jan[[#This Row],[Start]],jan[[#This Row],[End]],jan[[#This Row],[Overnight (1 if yes)]])-jan[[#This Row],[Break]]</f>
        <v>0.83333333333333326</v>
      </c>
    </row>
    <row r="5" spans="1:9" x14ac:dyDescent="0.3">
      <c r="A5" s="2">
        <v>45667</v>
      </c>
      <c r="B5" s="3">
        <v>0.45833333333333331</v>
      </c>
      <c r="C5" s="3">
        <v>0.83333333333333337</v>
      </c>
      <c r="D5" s="8"/>
      <c r="E5" s="3"/>
      <c r="F5" s="4" cm="1">
        <f t="array" ref="F5">hours(jan[[#This Row],[Start]],jan[[#This Row],[End]],jan[[#This Row],[Overnight (1 if yes)]])-jan[[#This Row],[Break]]</f>
        <v>0.37500000000000006</v>
      </c>
      <c r="H5" t="s">
        <v>24</v>
      </c>
      <c r="I5" t="s">
        <v>5</v>
      </c>
    </row>
    <row r="6" spans="1:9" x14ac:dyDescent="0.3">
      <c r="A6" s="2">
        <v>45668</v>
      </c>
      <c r="B6" s="3">
        <v>0.33333333333333331</v>
      </c>
      <c r="C6" s="3">
        <v>0.91666666666666663</v>
      </c>
      <c r="D6" s="8"/>
      <c r="E6" s="3"/>
      <c r="F6" s="4" cm="1">
        <f t="array" ref="F6">hours(jan[[#This Row],[Start]],jan[[#This Row],[End]],jan[[#This Row],[Overnight (1 if yes)]])-jan[[#This Row],[Break]]</f>
        <v>0.58333333333333326</v>
      </c>
      <c r="H6" s="5">
        <f>MAX(jan[Total hours])*24</f>
        <v>20</v>
      </c>
      <c r="I6" s="2">
        <f>INDEX(jan[Date], MATCH(MAX(jan[Total hours]), jan[Total hours], 0))</f>
        <v>45666</v>
      </c>
    </row>
    <row r="7" spans="1:9" x14ac:dyDescent="0.3">
      <c r="A7" s="2">
        <v>45669</v>
      </c>
      <c r="B7" s="3">
        <v>0.29166666666666669</v>
      </c>
      <c r="C7" s="3">
        <v>0.875</v>
      </c>
      <c r="D7" s="8"/>
      <c r="E7" s="3"/>
      <c r="F7" s="4" cm="1">
        <f t="array" ref="F7">hours(jan[[#This Row],[Start]],jan[[#This Row],[End]],jan[[#This Row],[Overnight (1 if yes)]])-jan[[#This Row],[Break]]</f>
        <v>0.58333333333333326</v>
      </c>
    </row>
    <row r="8" spans="1:9" x14ac:dyDescent="0.3">
      <c r="A8" s="2">
        <v>45670</v>
      </c>
      <c r="B8" s="3">
        <v>0.33333333333333331</v>
      </c>
      <c r="C8" s="3">
        <v>0.875</v>
      </c>
      <c r="D8" s="8"/>
      <c r="E8" s="3"/>
      <c r="F8" s="4" cm="1">
        <f t="array" ref="F8">hours(jan[[#This Row],[Start]],jan[[#This Row],[End]],jan[[#This Row],[Overnight (1 if yes)]])-jan[[#This Row],[Break]]</f>
        <v>0.54166666666666674</v>
      </c>
    </row>
    <row r="9" spans="1:9" x14ac:dyDescent="0.3">
      <c r="A9" s="2">
        <v>45672</v>
      </c>
      <c r="B9" s="3">
        <v>0.29166666666666669</v>
      </c>
      <c r="C9" s="3">
        <v>0.875</v>
      </c>
      <c r="D9" s="8"/>
      <c r="E9" s="3"/>
      <c r="F9" s="4" cm="1">
        <f t="array" ref="F9">hours(jan[[#This Row],[Start]],jan[[#This Row],[End]],jan[[#This Row],[Overnight (1 if yes)]])-jan[[#This Row],[Break]]</f>
        <v>0.58333333333333326</v>
      </c>
    </row>
    <row r="10" spans="1:9" x14ac:dyDescent="0.3">
      <c r="A10" s="2">
        <v>45673</v>
      </c>
      <c r="B10" s="3">
        <v>0.375</v>
      </c>
      <c r="C10" s="3">
        <v>0.875</v>
      </c>
      <c r="D10" s="8"/>
      <c r="E10" s="3"/>
      <c r="F10" s="4" cm="1">
        <f t="array" ref="F10">hours(jan[[#This Row],[Start]],jan[[#This Row],[End]],jan[[#This Row],[Overnight (1 if yes)]])-jan[[#This Row],[Break]]</f>
        <v>0.5</v>
      </c>
    </row>
    <row r="11" spans="1:9" x14ac:dyDescent="0.3">
      <c r="A11" s="2">
        <v>45674</v>
      </c>
      <c r="B11" s="3">
        <v>0.41666666666666669</v>
      </c>
      <c r="C11" s="3">
        <v>0.91666666666666663</v>
      </c>
      <c r="D11" s="8"/>
      <c r="E11" s="3"/>
      <c r="F11" s="4" cm="1">
        <f t="array" ref="F11">hours(jan[[#This Row],[Start]],jan[[#This Row],[End]],jan[[#This Row],[Overnight (1 if yes)]])-jan[[#This Row],[Break]]</f>
        <v>0.49999999999999994</v>
      </c>
    </row>
    <row r="12" spans="1:9" x14ac:dyDescent="0.3">
      <c r="A12" s="2">
        <v>45675</v>
      </c>
      <c r="B12" s="3">
        <v>0.41666666666666669</v>
      </c>
      <c r="C12" s="3">
        <v>0.79166666666666663</v>
      </c>
      <c r="D12" s="8"/>
      <c r="E12" s="3"/>
      <c r="F12" s="4" cm="1">
        <f t="array" ref="F12">hours(jan[[#This Row],[Start]],jan[[#This Row],[End]],jan[[#This Row],[Overnight (1 if yes)]])-jan[[#This Row],[Break]]</f>
        <v>0.37499999999999994</v>
      </c>
    </row>
    <row r="13" spans="1:9" x14ac:dyDescent="0.3">
      <c r="A13" s="2">
        <v>45676</v>
      </c>
      <c r="B13" s="3">
        <v>0.41666666666666669</v>
      </c>
      <c r="C13" s="3">
        <v>0.875</v>
      </c>
      <c r="D13" s="8"/>
      <c r="E13" s="3"/>
      <c r="F13" s="4" cm="1">
        <f t="array" ref="F13">hours(jan[[#This Row],[Start]],jan[[#This Row],[End]],jan[[#This Row],[Overnight (1 if yes)]])-jan[[#This Row],[Break]]</f>
        <v>0.45833333333333331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C0CDB-3B27-47BA-B5DF-4A81594CC710}">
  <sheetPr codeName="Sheet11"/>
  <dimension ref="A1:I17"/>
  <sheetViews>
    <sheetView workbookViewId="0">
      <selection activeCell="E14" sqref="E14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8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>
        <v>45689</v>
      </c>
      <c r="B3" s="7">
        <v>0.33333333333333331</v>
      </c>
      <c r="C3" s="7">
        <v>0.91666666666666663</v>
      </c>
      <c r="D3" s="8"/>
      <c r="E3" s="3">
        <v>8.3333333333333329E-2</v>
      </c>
      <c r="F3" s="4" cm="1">
        <f t="array" ref="F3">hours(feb[[#This Row],[Start]],feb[[#This Row],[End]],feb[[#This Row],[Overnight (1 if yes)]])-feb[[#This Row],[Break]]</f>
        <v>0.49999999999999994</v>
      </c>
      <c r="H3" s="5">
        <f>SUM(feb[Total hours])*24</f>
        <v>171.5</v>
      </c>
      <c r="I3" s="5" cm="1">
        <f t="array" ref="I3">t_feb[[#This Row],[Total hours worked]]*info[Hourly rate]</f>
        <v>6002.5</v>
      </c>
    </row>
    <row r="4" spans="1:9" x14ac:dyDescent="0.3">
      <c r="A4" s="2">
        <v>45691</v>
      </c>
      <c r="B4" s="7">
        <v>0.29166666666666669</v>
      </c>
      <c r="C4" s="7">
        <v>0.125</v>
      </c>
      <c r="D4" s="8">
        <v>1</v>
      </c>
      <c r="E4" s="3"/>
      <c r="F4" s="4" cm="1">
        <f t="array" ref="F4">hours(feb[[#This Row],[Start]],feb[[#This Row],[End]],feb[[#This Row],[Overnight (1 if yes)]])-feb[[#This Row],[Break]]</f>
        <v>0.83333333333333326</v>
      </c>
    </row>
    <row r="5" spans="1:9" x14ac:dyDescent="0.3">
      <c r="A5" s="2">
        <v>45693</v>
      </c>
      <c r="B5" s="7">
        <v>0.45833333333333331</v>
      </c>
      <c r="C5" s="7">
        <v>0.83333333333333337</v>
      </c>
      <c r="D5" s="8"/>
      <c r="E5" s="3"/>
      <c r="F5" s="4" cm="1">
        <f t="array" ref="F5">hours(feb[[#This Row],[Start]],feb[[#This Row],[End]],feb[[#This Row],[Overnight (1 if yes)]])-feb[[#This Row],[Break]]</f>
        <v>0.37500000000000006</v>
      </c>
      <c r="H5" t="s">
        <v>24</v>
      </c>
      <c r="I5" t="s">
        <v>5</v>
      </c>
    </row>
    <row r="6" spans="1:9" x14ac:dyDescent="0.3">
      <c r="A6" s="2">
        <v>45695</v>
      </c>
      <c r="B6" s="7">
        <v>0.33333333333333331</v>
      </c>
      <c r="C6" s="7">
        <v>0.91666666666666663</v>
      </c>
      <c r="D6" s="8"/>
      <c r="E6" s="3"/>
      <c r="F6" s="4" cm="1">
        <f t="array" ref="F6">hours(feb[[#This Row],[Start]],feb[[#This Row],[End]],feb[[#This Row],[Overnight (1 if yes)]])-feb[[#This Row],[Break]]</f>
        <v>0.58333333333333326</v>
      </c>
      <c r="H6" s="5">
        <f>MAX(feb[Total hours])*24</f>
        <v>20</v>
      </c>
      <c r="I6" s="2">
        <f>INDEX(feb[Date], MATCH(MAX(feb[Total hours]), feb[Total hours], 0))</f>
        <v>45691</v>
      </c>
    </row>
    <row r="7" spans="1:9" x14ac:dyDescent="0.3">
      <c r="A7" s="2">
        <v>45696</v>
      </c>
      <c r="B7" s="7">
        <v>0.3125</v>
      </c>
      <c r="C7" s="7">
        <v>0.875</v>
      </c>
      <c r="D7" s="8"/>
      <c r="E7" s="3"/>
      <c r="F7" s="4" cm="1">
        <f t="array" ref="F7">hours(feb[[#This Row],[Start]],feb[[#This Row],[End]],feb[[#This Row],[Overnight (1 if yes)]])-feb[[#This Row],[Break]]</f>
        <v>0.5625</v>
      </c>
    </row>
    <row r="8" spans="1:9" x14ac:dyDescent="0.3">
      <c r="A8" s="2">
        <v>45698</v>
      </c>
      <c r="B8" s="7">
        <v>0.33333333333333331</v>
      </c>
      <c r="C8" s="7">
        <v>0.875</v>
      </c>
      <c r="D8" s="8"/>
      <c r="E8" s="3">
        <v>2.0833333333333332E-2</v>
      </c>
      <c r="F8" s="4" cm="1">
        <f t="array" ref="F8">hours(feb[[#This Row],[Start]],feb[[#This Row],[End]],feb[[#This Row],[Overnight (1 if yes)]])-feb[[#This Row],[Break]]</f>
        <v>0.52083333333333337</v>
      </c>
    </row>
    <row r="9" spans="1:9" x14ac:dyDescent="0.3">
      <c r="A9" s="2">
        <v>45700</v>
      </c>
      <c r="B9" s="7">
        <v>0.29166666666666669</v>
      </c>
      <c r="C9" s="7">
        <v>0.875</v>
      </c>
      <c r="D9" s="8"/>
      <c r="E9" s="3"/>
      <c r="F9" s="4" cm="1">
        <f t="array" ref="F9">hours(feb[[#This Row],[Start]],feb[[#This Row],[End]],feb[[#This Row],[Overnight (1 if yes)]])-feb[[#This Row],[Break]]</f>
        <v>0.58333333333333326</v>
      </c>
    </row>
    <row r="10" spans="1:9" x14ac:dyDescent="0.3">
      <c r="A10" s="2">
        <v>45702</v>
      </c>
      <c r="B10" s="7">
        <v>0.375</v>
      </c>
      <c r="C10" s="7">
        <v>0.875</v>
      </c>
      <c r="D10" s="8"/>
      <c r="E10" s="3"/>
      <c r="F10" s="4" cm="1">
        <f t="array" ref="F10">hours(feb[[#This Row],[Start]],feb[[#This Row],[End]],feb[[#This Row],[Overnight (1 if yes)]])-feb[[#This Row],[Break]]</f>
        <v>0.5</v>
      </c>
    </row>
    <row r="11" spans="1:9" x14ac:dyDescent="0.3">
      <c r="A11" s="2">
        <v>45704</v>
      </c>
      <c r="B11" s="7">
        <v>0.41666666666666669</v>
      </c>
      <c r="C11" s="7">
        <v>0.91666666666666663</v>
      </c>
      <c r="D11" s="8"/>
      <c r="E11" s="3"/>
      <c r="F11" s="4" cm="1">
        <f t="array" ref="F11">hours(feb[[#This Row],[Start]],feb[[#This Row],[End]],feb[[#This Row],[Overnight (1 if yes)]])-feb[[#This Row],[Break]]</f>
        <v>0.49999999999999994</v>
      </c>
    </row>
    <row r="12" spans="1:9" x14ac:dyDescent="0.3">
      <c r="A12" s="2">
        <v>45706</v>
      </c>
      <c r="B12" s="7">
        <v>0.4375</v>
      </c>
      <c r="C12" s="7">
        <v>0.79166666666666663</v>
      </c>
      <c r="D12" s="8"/>
      <c r="E12" s="3"/>
      <c r="F12" s="4" cm="1">
        <f t="array" ref="F12">hours(feb[[#This Row],[Start]],feb[[#This Row],[End]],feb[[#This Row],[Overnight (1 if yes)]])-feb[[#This Row],[Break]]</f>
        <v>0.35416666666666663</v>
      </c>
    </row>
    <row r="13" spans="1:9" x14ac:dyDescent="0.3">
      <c r="A13" s="2">
        <v>45708</v>
      </c>
      <c r="B13" s="7">
        <v>0.41666666666666669</v>
      </c>
      <c r="C13" s="7">
        <v>0.875</v>
      </c>
      <c r="D13" s="8"/>
      <c r="E13" s="3">
        <v>0.16666666666666666</v>
      </c>
      <c r="F13" s="4" cm="1">
        <f t="array" ref="F13">hours(feb[[#This Row],[Start]],feb[[#This Row],[End]],feb[[#This Row],[Overnight (1 if yes)]])-feb[[#This Row],[Break]]</f>
        <v>0.29166666666666663</v>
      </c>
    </row>
    <row r="14" spans="1:9" x14ac:dyDescent="0.3">
      <c r="A14" s="2">
        <v>45710</v>
      </c>
      <c r="B14" s="3">
        <v>0.83333333333333337</v>
      </c>
      <c r="C14" s="7">
        <v>0.83333333333333337</v>
      </c>
      <c r="D14" s="8"/>
      <c r="E14" s="3"/>
      <c r="F14" s="4" cm="1">
        <f t="array" ref="F14">hours(feb[[#This Row],[Start]],feb[[#This Row],[End]],feb[[#This Row],[Overnight (1 if yes)]])-feb[[#This Row],[Break]]</f>
        <v>0</v>
      </c>
    </row>
    <row r="15" spans="1:9" x14ac:dyDescent="0.3">
      <c r="A15" s="2">
        <v>45712</v>
      </c>
      <c r="B15" s="3">
        <v>0.45833333333333331</v>
      </c>
      <c r="C15" s="7">
        <v>0.91666666666666663</v>
      </c>
      <c r="D15" s="8"/>
      <c r="E15" s="3"/>
      <c r="F15" s="4" cm="1">
        <f t="array" ref="F15">hours(feb[[#This Row],[Start]],feb[[#This Row],[End]],feb[[#This Row],[Overnight (1 if yes)]])-feb[[#This Row],[Break]]</f>
        <v>0.45833333333333331</v>
      </c>
    </row>
    <row r="16" spans="1:9" x14ac:dyDescent="0.3">
      <c r="A16" s="2">
        <v>45714</v>
      </c>
      <c r="B16" s="3">
        <v>0.25</v>
      </c>
      <c r="C16" s="7">
        <v>0.875</v>
      </c>
      <c r="D16" s="8"/>
      <c r="E16" s="3"/>
      <c r="F16" s="4" cm="1">
        <f t="array" ref="F16">hours(feb[[#This Row],[Start]],feb[[#This Row],[End]],feb[[#This Row],[Overnight (1 if yes)]])-feb[[#This Row],[Break]]</f>
        <v>0.625</v>
      </c>
    </row>
    <row r="17" spans="1:6" x14ac:dyDescent="0.3">
      <c r="A17" s="2">
        <v>45716</v>
      </c>
      <c r="B17" s="3">
        <v>0.33333333333333331</v>
      </c>
      <c r="C17" s="7">
        <v>0.79166666666666663</v>
      </c>
      <c r="D17" s="8"/>
      <c r="E17" s="3"/>
      <c r="F17" s="4" cm="1">
        <f t="array" ref="F17">hours(feb[[#This Row],[Start]],feb[[#This Row],[End]],feb[[#This Row],[Overnight (1 if yes)]])-feb[[#This Row],[Break]]</f>
        <v>0.45833333333333331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3E91A-2004-4426-9F0C-78D3F8B22FED}">
  <sheetPr codeName="Sheet10"/>
  <dimension ref="A1:I17"/>
  <sheetViews>
    <sheetView workbookViewId="0">
      <selection activeCell="E11" sqref="E11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9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>
        <v>45718</v>
      </c>
      <c r="B3" s="7">
        <v>0.33333333333333331</v>
      </c>
      <c r="C3" s="7">
        <v>0.83333333333333337</v>
      </c>
      <c r="D3" s="8"/>
      <c r="E3" s="3"/>
      <c r="F3" s="4" cm="1">
        <f t="array" ref="F3">hours(mar[[#This Row],[Start]],mar[[#This Row],[End]],mar[[#This Row],[Overnight (1 if yes)]])-mar[[#This Row],[Break]]</f>
        <v>0.5</v>
      </c>
      <c r="H3" s="5">
        <f>SUM(mar[Total hours])*24</f>
        <v>195</v>
      </c>
      <c r="I3" s="5" cm="1">
        <f t="array" ref="I3">t_mar[[#This Row],[Total hours worked]]*info[Hourly rate]</f>
        <v>6825</v>
      </c>
    </row>
    <row r="4" spans="1:9" x14ac:dyDescent="0.3">
      <c r="A4" s="2">
        <v>45720</v>
      </c>
      <c r="B4" s="7">
        <v>0.41666666666666669</v>
      </c>
      <c r="C4" s="7">
        <v>0.91666666666666663</v>
      </c>
      <c r="D4" s="8"/>
      <c r="E4" s="3">
        <v>4.1666666666666664E-2</v>
      </c>
      <c r="F4" s="4" cm="1">
        <f t="array" ref="F4">hours(mar[[#This Row],[Start]],mar[[#This Row],[End]],mar[[#This Row],[Overnight (1 if yes)]])-mar[[#This Row],[Break]]</f>
        <v>0.45833333333333326</v>
      </c>
    </row>
    <row r="5" spans="1:9" x14ac:dyDescent="0.3">
      <c r="A5" s="2">
        <v>45722</v>
      </c>
      <c r="B5" s="7">
        <v>0.375</v>
      </c>
      <c r="C5" s="7">
        <v>0.875</v>
      </c>
      <c r="D5" s="8"/>
      <c r="E5" s="3"/>
      <c r="F5" s="4" cm="1">
        <f t="array" ref="F5">hours(mar[[#This Row],[Start]],mar[[#This Row],[End]],mar[[#This Row],[Overnight (1 if yes)]])-mar[[#This Row],[Break]]</f>
        <v>0.5</v>
      </c>
      <c r="H5" t="s">
        <v>24</v>
      </c>
      <c r="I5" t="s">
        <v>5</v>
      </c>
    </row>
    <row r="6" spans="1:9" x14ac:dyDescent="0.3">
      <c r="A6" s="2">
        <v>45725</v>
      </c>
      <c r="B6" s="7">
        <v>0.33333333333333331</v>
      </c>
      <c r="C6" s="7">
        <v>0.125</v>
      </c>
      <c r="D6" s="8">
        <v>1</v>
      </c>
      <c r="E6" s="3"/>
      <c r="F6" s="4" cm="1">
        <f t="array" ref="F6">hours(mar[[#This Row],[Start]],mar[[#This Row],[End]],mar[[#This Row],[Overnight (1 if yes)]])-mar[[#This Row],[Break]]</f>
        <v>0.79166666666666674</v>
      </c>
      <c r="H6" s="5">
        <f>MAX(mar[Total hours])*24</f>
        <v>19</v>
      </c>
      <c r="I6" s="2">
        <f>INDEX(mar[Date], MATCH(MAX(mar[Total hours]), mar[Total hours], 0))</f>
        <v>45725</v>
      </c>
    </row>
    <row r="7" spans="1:9" x14ac:dyDescent="0.3">
      <c r="A7" s="2">
        <v>45727</v>
      </c>
      <c r="B7" s="7">
        <v>0.375</v>
      </c>
      <c r="C7" s="7">
        <v>0.91666666666666663</v>
      </c>
      <c r="D7" s="8"/>
      <c r="E7" s="3"/>
      <c r="F7" s="4" cm="1">
        <f t="array" ref="F7">hours(mar[[#This Row],[Start]],mar[[#This Row],[End]],mar[[#This Row],[Overnight (1 if yes)]])-mar[[#This Row],[Break]]</f>
        <v>0.54166666666666663</v>
      </c>
    </row>
    <row r="8" spans="1:9" x14ac:dyDescent="0.3">
      <c r="A8" s="2">
        <v>45729</v>
      </c>
      <c r="B8" s="7">
        <v>0.375</v>
      </c>
      <c r="C8" s="7">
        <v>0.875</v>
      </c>
      <c r="D8" s="8"/>
      <c r="E8" s="3">
        <v>4.1666666666666664E-2</v>
      </c>
      <c r="F8" s="4" cm="1">
        <f t="array" ref="F8">hours(mar[[#This Row],[Start]],mar[[#This Row],[End]],mar[[#This Row],[Overnight (1 if yes)]])-mar[[#This Row],[Break]]</f>
        <v>0.45833333333333331</v>
      </c>
    </row>
    <row r="9" spans="1:9" x14ac:dyDescent="0.3">
      <c r="A9" s="2">
        <v>45731</v>
      </c>
      <c r="B9" s="7">
        <v>0.375</v>
      </c>
      <c r="C9" s="7">
        <v>0.95833333333333337</v>
      </c>
      <c r="D9" s="8"/>
      <c r="E9" s="3"/>
      <c r="F9" s="4" cm="1">
        <f t="array" ref="F9">hours(mar[[#This Row],[Start]],mar[[#This Row],[End]],mar[[#This Row],[Overnight (1 if yes)]])-mar[[#This Row],[Break]]</f>
        <v>0.58333333333333337</v>
      </c>
    </row>
    <row r="10" spans="1:9" x14ac:dyDescent="0.3">
      <c r="A10" s="2">
        <v>45733</v>
      </c>
      <c r="B10" s="7">
        <v>0.375</v>
      </c>
      <c r="C10" s="7">
        <v>4.1666666666666664E-2</v>
      </c>
      <c r="D10" s="8">
        <v>1</v>
      </c>
      <c r="E10" s="3"/>
      <c r="F10" s="4" cm="1">
        <f t="array" ref="F10">hours(mar[[#This Row],[Start]],mar[[#This Row],[End]],mar[[#This Row],[Overnight (1 if yes)]])-mar[[#This Row],[Break]]</f>
        <v>0.66666666666666663</v>
      </c>
    </row>
    <row r="11" spans="1:9" x14ac:dyDescent="0.3">
      <c r="A11" s="2">
        <v>45735</v>
      </c>
      <c r="B11" s="7">
        <v>0.41666666666666669</v>
      </c>
      <c r="C11" s="7">
        <v>0.91666666666666663</v>
      </c>
      <c r="D11" s="8"/>
      <c r="E11" s="3"/>
      <c r="F11" s="4" cm="1">
        <f t="array" ref="F11">hours(mar[[#This Row],[Start]],mar[[#This Row],[End]],mar[[#This Row],[Overnight (1 if yes)]])-mar[[#This Row],[Break]]</f>
        <v>0.49999999999999994</v>
      </c>
    </row>
    <row r="12" spans="1:9" x14ac:dyDescent="0.3">
      <c r="A12" s="2">
        <v>45737</v>
      </c>
      <c r="B12" s="7">
        <v>0.29166666666666669</v>
      </c>
      <c r="C12" s="7">
        <v>0.875</v>
      </c>
      <c r="D12" s="8"/>
      <c r="E12" s="3"/>
      <c r="F12" s="4" cm="1">
        <f t="array" ref="F12">hours(mar[[#This Row],[Start]],mar[[#This Row],[End]],mar[[#This Row],[Overnight (1 if yes)]])-mar[[#This Row],[Break]]</f>
        <v>0.58333333333333326</v>
      </c>
    </row>
    <row r="13" spans="1:9" x14ac:dyDescent="0.3">
      <c r="A13" s="2">
        <v>45739</v>
      </c>
      <c r="B13" s="7">
        <v>0.375</v>
      </c>
      <c r="C13" s="7">
        <v>0.79166666666666663</v>
      </c>
      <c r="D13" s="8"/>
      <c r="E13" s="3"/>
      <c r="F13" s="4" cm="1">
        <f t="array" ref="F13">hours(mar[[#This Row],[Start]],mar[[#This Row],[End]],mar[[#This Row],[Overnight (1 if yes)]])-mar[[#This Row],[Break]]</f>
        <v>0.41666666666666663</v>
      </c>
    </row>
    <row r="14" spans="1:9" x14ac:dyDescent="0.3">
      <c r="A14" s="2">
        <v>45741</v>
      </c>
      <c r="B14" s="7">
        <v>0.33333333333333331</v>
      </c>
      <c r="C14" s="7">
        <v>0.16666666666666666</v>
      </c>
      <c r="D14" s="8">
        <v>1</v>
      </c>
      <c r="E14" s="3">
        <v>0.25</v>
      </c>
      <c r="F14" s="4" cm="1">
        <f t="array" ref="F14">hours(mar[[#This Row],[Start]],mar[[#This Row],[End]],mar[[#This Row],[Overnight (1 if yes)]])-mar[[#This Row],[Break]]</f>
        <v>0.58333333333333337</v>
      </c>
    </row>
    <row r="15" spans="1:9" x14ac:dyDescent="0.3">
      <c r="A15" s="2">
        <v>45743</v>
      </c>
      <c r="B15" s="7">
        <v>0.41666666666666669</v>
      </c>
      <c r="C15" s="7">
        <v>0.91666666666666663</v>
      </c>
      <c r="D15" s="8"/>
      <c r="E15" s="3"/>
      <c r="F15" s="4" cm="1">
        <f t="array" ref="F15">hours(mar[[#This Row],[Start]],mar[[#This Row],[End]],mar[[#This Row],[Overnight (1 if yes)]])-mar[[#This Row],[Break]]</f>
        <v>0.49999999999999994</v>
      </c>
    </row>
    <row r="16" spans="1:9" x14ac:dyDescent="0.3">
      <c r="A16" s="2">
        <v>45745</v>
      </c>
      <c r="B16" s="7">
        <v>0.375</v>
      </c>
      <c r="C16" s="7">
        <v>0.875</v>
      </c>
      <c r="D16" s="8"/>
      <c r="E16" s="3"/>
      <c r="F16" s="4" cm="1">
        <f t="array" ref="F16">hours(mar[[#This Row],[Start]],mar[[#This Row],[End]],mar[[#This Row],[Overnight (1 if yes)]])-mar[[#This Row],[Break]]</f>
        <v>0.5</v>
      </c>
    </row>
    <row r="17" spans="1:6" x14ac:dyDescent="0.3">
      <c r="A17" s="2">
        <v>45747</v>
      </c>
      <c r="B17" s="7">
        <v>0.29166666666666669</v>
      </c>
      <c r="C17" s="7">
        <v>0.83333333333333337</v>
      </c>
      <c r="D17" s="8"/>
      <c r="E17" s="3"/>
      <c r="F17" s="4" cm="1">
        <f t="array" ref="F17">hours(mar[[#This Row],[Start]],mar[[#This Row],[End]],mar[[#This Row],[Overnight (1 if yes)]])-mar[[#This Row],[Break]]</f>
        <v>0.54166666666666674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0E1F3-25B9-4E1B-85C6-90DD22283586}">
  <sheetPr codeName="Sheet9"/>
  <dimension ref="A1:I17"/>
  <sheetViews>
    <sheetView workbookViewId="0">
      <selection activeCell="E16" sqref="E16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10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>
        <v>45748</v>
      </c>
      <c r="B3" s="7">
        <v>0.33333333333333331</v>
      </c>
      <c r="C3" s="7">
        <v>0.875</v>
      </c>
      <c r="D3" s="8"/>
      <c r="E3" s="3"/>
      <c r="F3" s="4" cm="1">
        <f t="array" ref="F3">hours(apr[[#This Row],[Start]],apr[[#This Row],[End]],apr[[#This Row],[Overnight (1 if yes)]])-apr[[#This Row],[Break]]</f>
        <v>0.54166666666666674</v>
      </c>
      <c r="H3" s="5">
        <f>SUM(apr[Total hours])*24</f>
        <v>193.5</v>
      </c>
      <c r="I3" s="5" cm="1">
        <f t="array" ref="I3">t_apr[[#This Row],[Total hours worked]]*info[Hourly rate]</f>
        <v>6772.5</v>
      </c>
    </row>
    <row r="4" spans="1:9" x14ac:dyDescent="0.3">
      <c r="A4" s="2">
        <v>45750</v>
      </c>
      <c r="B4" s="7">
        <v>0.41666666666666669</v>
      </c>
      <c r="C4" s="7">
        <v>0.95833333333333337</v>
      </c>
      <c r="D4" s="8"/>
      <c r="E4" s="3"/>
      <c r="F4" s="4" cm="1">
        <f t="array" ref="F4">hours(apr[[#This Row],[Start]],apr[[#This Row],[End]],apr[[#This Row],[Overnight (1 if yes)]])-apr[[#This Row],[Break]]</f>
        <v>0.54166666666666674</v>
      </c>
    </row>
    <row r="5" spans="1:9" x14ac:dyDescent="0.3">
      <c r="A5" s="2">
        <v>45752</v>
      </c>
      <c r="B5" s="7">
        <v>0.375</v>
      </c>
      <c r="C5" s="7">
        <v>0.83333333333333337</v>
      </c>
      <c r="D5" s="8"/>
      <c r="E5" s="3"/>
      <c r="F5" s="4" cm="1">
        <f t="array" ref="F5">hours(apr[[#This Row],[Start]],apr[[#This Row],[End]],apr[[#This Row],[Overnight (1 if yes)]])-apr[[#This Row],[Break]]</f>
        <v>0.45833333333333337</v>
      </c>
      <c r="H5" t="s">
        <v>24</v>
      </c>
      <c r="I5" t="s">
        <v>5</v>
      </c>
    </row>
    <row r="6" spans="1:9" x14ac:dyDescent="0.3">
      <c r="A6" s="2">
        <v>45755</v>
      </c>
      <c r="B6" s="7">
        <v>0.33333333333333331</v>
      </c>
      <c r="C6" s="7">
        <v>8.3333333333333329E-2</v>
      </c>
      <c r="D6" s="8">
        <v>1</v>
      </c>
      <c r="E6" s="3"/>
      <c r="F6" s="4" cm="1">
        <f t="array" ref="F6">hours(apr[[#This Row],[Start]],apr[[#This Row],[End]],apr[[#This Row],[Overnight (1 if yes)]])-apr[[#This Row],[Break]]</f>
        <v>0.75</v>
      </c>
      <c r="H6" s="5">
        <f>MAX(apr[Total hours])*24</f>
        <v>18</v>
      </c>
      <c r="I6" s="2">
        <f>INDEX(apr[Date], MATCH(MAX(apr[Total hours]), apr[Total hours], 0))</f>
        <v>45755</v>
      </c>
    </row>
    <row r="7" spans="1:9" x14ac:dyDescent="0.3">
      <c r="A7" s="2">
        <v>45757</v>
      </c>
      <c r="B7" s="7">
        <v>0.375</v>
      </c>
      <c r="C7" s="7">
        <v>0.91666666666666663</v>
      </c>
      <c r="D7" s="8"/>
      <c r="E7" s="3"/>
      <c r="F7" s="4" cm="1">
        <f t="array" ref="F7">hours(apr[[#This Row],[Start]],apr[[#This Row],[End]],apr[[#This Row],[Overnight (1 if yes)]])-apr[[#This Row],[Break]]</f>
        <v>0.54166666666666663</v>
      </c>
    </row>
    <row r="8" spans="1:9" x14ac:dyDescent="0.3">
      <c r="A8" s="2">
        <v>45759</v>
      </c>
      <c r="B8" s="7">
        <v>0.375</v>
      </c>
      <c r="C8" s="7">
        <v>0.875</v>
      </c>
      <c r="D8" s="8"/>
      <c r="E8" s="3"/>
      <c r="F8" s="4" cm="1">
        <f t="array" ref="F8">hours(apr[[#This Row],[Start]],apr[[#This Row],[End]],apr[[#This Row],[Overnight (1 if yes)]])-apr[[#This Row],[Break]]</f>
        <v>0.5</v>
      </c>
    </row>
    <row r="9" spans="1:9" x14ac:dyDescent="0.3">
      <c r="A9" s="2">
        <v>45761</v>
      </c>
      <c r="B9" s="7">
        <v>0.375</v>
      </c>
      <c r="C9" s="7">
        <v>0.95833333333333337</v>
      </c>
      <c r="D9" s="8"/>
      <c r="E9" s="3"/>
      <c r="F9" s="4" cm="1">
        <f t="array" ref="F9">hours(apr[[#This Row],[Start]],apr[[#This Row],[End]],apr[[#This Row],[Overnight (1 if yes)]])-apr[[#This Row],[Break]]</f>
        <v>0.58333333333333337</v>
      </c>
    </row>
    <row r="10" spans="1:9" x14ac:dyDescent="0.3">
      <c r="A10" s="2">
        <v>45763</v>
      </c>
      <c r="B10" s="7">
        <v>0.375</v>
      </c>
      <c r="C10" s="7">
        <v>0.16666666666666666</v>
      </c>
      <c r="D10" s="8">
        <v>1</v>
      </c>
      <c r="E10" s="3">
        <v>0.29166666666666669</v>
      </c>
      <c r="F10" s="4" cm="1">
        <f t="array" ref="F10">hours(apr[[#This Row],[Start]],apr[[#This Row],[End]],apr[[#This Row],[Overnight (1 if yes)]])-apr[[#This Row],[Break]]</f>
        <v>0.49999999999999994</v>
      </c>
    </row>
    <row r="11" spans="1:9" x14ac:dyDescent="0.3">
      <c r="A11" s="2">
        <v>45765</v>
      </c>
      <c r="B11" s="7">
        <v>0.41666666666666669</v>
      </c>
      <c r="C11" s="7">
        <v>0.91666666666666663</v>
      </c>
      <c r="D11" s="8"/>
      <c r="E11" s="3"/>
      <c r="F11" s="4" cm="1">
        <f t="array" ref="F11">hours(apr[[#This Row],[Start]],apr[[#This Row],[End]],apr[[#This Row],[Overnight (1 if yes)]])-apr[[#This Row],[Break]]</f>
        <v>0.49999999999999994</v>
      </c>
    </row>
    <row r="12" spans="1:9" x14ac:dyDescent="0.3">
      <c r="A12" s="2">
        <v>45767</v>
      </c>
      <c r="B12" s="7">
        <v>0.29166666666666669</v>
      </c>
      <c r="C12" s="7">
        <v>0.83333333333333337</v>
      </c>
      <c r="D12" s="8"/>
      <c r="E12" s="3"/>
      <c r="F12" s="4" cm="1">
        <f t="array" ref="F12">hours(apr[[#This Row],[Start]],apr[[#This Row],[End]],apr[[#This Row],[Overnight (1 if yes)]])-apr[[#This Row],[Break]]</f>
        <v>0.54166666666666674</v>
      </c>
    </row>
    <row r="13" spans="1:9" x14ac:dyDescent="0.3">
      <c r="A13" s="2">
        <v>45769</v>
      </c>
      <c r="B13" s="7">
        <v>0.375</v>
      </c>
      <c r="C13" s="7">
        <v>0.79166666666666663</v>
      </c>
      <c r="D13" s="8"/>
      <c r="E13" s="3"/>
      <c r="F13" s="4" cm="1">
        <f t="array" ref="F13">hours(apr[[#This Row],[Start]],apr[[#This Row],[End]],apr[[#This Row],[Overnight (1 if yes)]])-apr[[#This Row],[Break]]</f>
        <v>0.41666666666666663</v>
      </c>
    </row>
    <row r="14" spans="1:9" x14ac:dyDescent="0.3">
      <c r="A14" s="2">
        <v>45771</v>
      </c>
      <c r="B14" s="7">
        <v>0.33333333333333331</v>
      </c>
      <c r="C14" s="7">
        <v>0.125</v>
      </c>
      <c r="D14" s="8">
        <v>1</v>
      </c>
      <c r="E14" s="3">
        <v>0.14583333333333334</v>
      </c>
      <c r="F14" s="4" cm="1">
        <f t="array" ref="F14">hours(apr[[#This Row],[Start]],apr[[#This Row],[End]],apr[[#This Row],[Overnight (1 if yes)]])-apr[[#This Row],[Break]]</f>
        <v>0.64583333333333337</v>
      </c>
    </row>
    <row r="15" spans="1:9" x14ac:dyDescent="0.3">
      <c r="A15" s="2">
        <v>45773</v>
      </c>
      <c r="B15" s="7">
        <v>0.41666666666666669</v>
      </c>
      <c r="C15" s="7">
        <v>0.91666666666666663</v>
      </c>
      <c r="D15" s="8"/>
      <c r="E15" s="3"/>
      <c r="F15" s="4" cm="1">
        <f t="array" ref="F15">hours(apr[[#This Row],[Start]],apr[[#This Row],[End]],apr[[#This Row],[Overnight (1 if yes)]])-apr[[#This Row],[Break]]</f>
        <v>0.49999999999999994</v>
      </c>
    </row>
    <row r="16" spans="1:9" x14ac:dyDescent="0.3">
      <c r="A16" s="2">
        <v>45775</v>
      </c>
      <c r="B16" s="7">
        <v>0.375</v>
      </c>
      <c r="C16" s="7">
        <v>0.875</v>
      </c>
      <c r="D16" s="8"/>
      <c r="E16" s="3"/>
      <c r="F16" s="4" cm="1">
        <f t="array" ref="F16">hours(apr[[#This Row],[Start]],apr[[#This Row],[End]],apr[[#This Row],[Overnight (1 if yes)]])-apr[[#This Row],[Break]]</f>
        <v>0.5</v>
      </c>
    </row>
    <row r="17" spans="1:6" x14ac:dyDescent="0.3">
      <c r="A17" s="2">
        <v>45777</v>
      </c>
      <c r="B17" s="7">
        <v>0.29166666666666669</v>
      </c>
      <c r="C17" s="7">
        <v>0.83333333333333337</v>
      </c>
      <c r="D17" s="8"/>
      <c r="E17" s="3"/>
      <c r="F17" s="4" cm="1">
        <f t="array" ref="F17">hours(apr[[#This Row],[Start]],apr[[#This Row],[End]],apr[[#This Row],[Overnight (1 if yes)]])-apr[[#This Row],[Break]]</f>
        <v>0.54166666666666674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DF02-83FC-4CA7-8552-BF80E05A8EDD}">
  <sheetPr codeName="Sheet8"/>
  <dimension ref="A1:I17"/>
  <sheetViews>
    <sheetView workbookViewId="0">
      <selection activeCell="D11" sqref="D11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11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>
        <v>45779</v>
      </c>
      <c r="B3" s="7">
        <v>0.33333333333333331</v>
      </c>
      <c r="C3" s="7">
        <v>0.875</v>
      </c>
      <c r="D3" s="8"/>
      <c r="E3" s="3"/>
      <c r="F3" s="4" cm="1">
        <f t="array" ref="F3">hours(may[[#This Row],[Start]],may[[#This Row],[End]],may[[#This Row],[Overnight (1 if yes)]])-may[[#This Row],[Break]]</f>
        <v>0.54166666666666674</v>
      </c>
      <c r="H3" s="5">
        <f>SUM(may[Total hours])*24</f>
        <v>188.99999999999997</v>
      </c>
      <c r="I3" s="5" cm="1">
        <f t="array" ref="I3">t_may[[#This Row],[Total hours worked]]*info[Hourly rate]</f>
        <v>6614.9999999999991</v>
      </c>
    </row>
    <row r="4" spans="1:9" x14ac:dyDescent="0.3">
      <c r="A4" s="2">
        <v>45781</v>
      </c>
      <c r="B4" s="7">
        <v>0.41666666666666669</v>
      </c>
      <c r="C4" s="7">
        <v>0.91666666666666663</v>
      </c>
      <c r="D4" s="8"/>
      <c r="E4" s="3"/>
      <c r="F4" s="4" cm="1">
        <f t="array" ref="F4">hours(may[[#This Row],[Start]],may[[#This Row],[End]],may[[#This Row],[Overnight (1 if yes)]])-may[[#This Row],[Break]]</f>
        <v>0.49999999999999994</v>
      </c>
    </row>
    <row r="5" spans="1:9" x14ac:dyDescent="0.3">
      <c r="A5" s="2">
        <v>45784</v>
      </c>
      <c r="B5" s="7">
        <v>0.375</v>
      </c>
      <c r="C5" s="7">
        <v>0.83333333333333337</v>
      </c>
      <c r="D5" s="8"/>
      <c r="E5" s="3"/>
      <c r="F5" s="4" cm="1">
        <f t="array" ref="F5">hours(may[[#This Row],[Start]],may[[#This Row],[End]],may[[#This Row],[Overnight (1 if yes)]])-may[[#This Row],[Break]]</f>
        <v>0.45833333333333337</v>
      </c>
      <c r="H5" t="s">
        <v>24</v>
      </c>
      <c r="I5" t="s">
        <v>5</v>
      </c>
    </row>
    <row r="6" spans="1:9" x14ac:dyDescent="0.3">
      <c r="A6" s="2">
        <v>45786</v>
      </c>
      <c r="B6" s="7">
        <v>0.33333333333333331</v>
      </c>
      <c r="C6" s="7">
        <v>8.3333333333333329E-2</v>
      </c>
      <c r="D6" s="8">
        <v>1</v>
      </c>
      <c r="E6" s="3"/>
      <c r="F6" s="4" cm="1">
        <f t="array" ref="F6">hours(may[[#This Row],[Start]],may[[#This Row],[End]],may[[#This Row],[Overnight (1 if yes)]])-may[[#This Row],[Break]]</f>
        <v>0.75</v>
      </c>
      <c r="H6" s="5">
        <f>MAX(may[Total hours])*24</f>
        <v>20</v>
      </c>
      <c r="I6" s="2">
        <f>INDEX(may[Date], MATCH(MAX(may[Total hours]), may[Total hours], 0))</f>
        <v>45802</v>
      </c>
    </row>
    <row r="7" spans="1:9" x14ac:dyDescent="0.3">
      <c r="A7" s="2">
        <v>45788</v>
      </c>
      <c r="B7" s="7">
        <v>0.375</v>
      </c>
      <c r="C7" s="7">
        <v>0.95833333333333337</v>
      </c>
      <c r="D7" s="8"/>
      <c r="E7" s="3"/>
      <c r="F7" s="4" cm="1">
        <f t="array" ref="F7">hours(may[[#This Row],[Start]],may[[#This Row],[End]],may[[#This Row],[Overnight (1 if yes)]])-may[[#This Row],[Break]]</f>
        <v>0.58333333333333337</v>
      </c>
    </row>
    <row r="8" spans="1:9" x14ac:dyDescent="0.3">
      <c r="A8" s="2">
        <v>45790</v>
      </c>
      <c r="B8" s="7">
        <v>0.375</v>
      </c>
      <c r="C8" s="7">
        <v>0.875</v>
      </c>
      <c r="D8" s="8"/>
      <c r="E8" s="3"/>
      <c r="F8" s="4" cm="1">
        <f t="array" ref="F8">hours(may[[#This Row],[Start]],may[[#This Row],[End]],may[[#This Row],[Overnight (1 if yes)]])-may[[#This Row],[Break]]</f>
        <v>0.5</v>
      </c>
    </row>
    <row r="9" spans="1:9" x14ac:dyDescent="0.3">
      <c r="A9" s="2">
        <v>45792</v>
      </c>
      <c r="B9" s="7">
        <v>0.375</v>
      </c>
      <c r="C9" s="7">
        <v>0.83333333333333337</v>
      </c>
      <c r="D9" s="8"/>
      <c r="E9" s="3"/>
      <c r="F9" s="4" cm="1">
        <f t="array" ref="F9">hours(may[[#This Row],[Start]],may[[#This Row],[End]],may[[#This Row],[Overnight (1 if yes)]])-may[[#This Row],[Break]]</f>
        <v>0.45833333333333337</v>
      </c>
    </row>
    <row r="10" spans="1:9" x14ac:dyDescent="0.3">
      <c r="A10" s="2">
        <v>45794</v>
      </c>
      <c r="B10" s="7">
        <v>0.375</v>
      </c>
      <c r="C10" s="7">
        <v>0.66666666666666663</v>
      </c>
      <c r="D10" s="8"/>
      <c r="E10" s="3">
        <v>8.3333333333333329E-2</v>
      </c>
      <c r="F10" s="4" cm="1">
        <f t="array" ref="F10">hours(may[[#This Row],[Start]],may[[#This Row],[End]],may[[#This Row],[Overnight (1 if yes)]])-may[[#This Row],[Break]]</f>
        <v>0.20833333333333331</v>
      </c>
    </row>
    <row r="11" spans="1:9" x14ac:dyDescent="0.3">
      <c r="A11" s="2">
        <v>45796</v>
      </c>
      <c r="B11" s="7">
        <v>0.41666666666666669</v>
      </c>
      <c r="C11" s="7">
        <v>0.91666666666666663</v>
      </c>
      <c r="D11" s="8"/>
      <c r="E11" s="3"/>
      <c r="F11" s="4" cm="1">
        <f t="array" ref="F11">hours(may[[#This Row],[Start]],may[[#This Row],[End]],may[[#This Row],[Overnight (1 if yes)]])-may[[#This Row],[Break]]</f>
        <v>0.49999999999999994</v>
      </c>
    </row>
    <row r="12" spans="1:9" x14ac:dyDescent="0.3">
      <c r="A12" s="2">
        <v>45798</v>
      </c>
      <c r="B12" s="7">
        <v>0.29166666666666669</v>
      </c>
      <c r="C12" s="7">
        <v>0.79166666666666663</v>
      </c>
      <c r="D12" s="8"/>
      <c r="E12" s="3">
        <v>4.1666666666666664E-2</v>
      </c>
      <c r="F12" s="4" cm="1">
        <f t="array" ref="F12">hours(may[[#This Row],[Start]],may[[#This Row],[End]],may[[#This Row],[Overnight (1 if yes)]])-may[[#This Row],[Break]]</f>
        <v>0.45833333333333326</v>
      </c>
    </row>
    <row r="13" spans="1:9" x14ac:dyDescent="0.3">
      <c r="A13" s="2">
        <v>45800</v>
      </c>
      <c r="B13" s="7">
        <v>0.375</v>
      </c>
      <c r="C13" s="7">
        <v>0.95833333333333337</v>
      </c>
      <c r="D13" s="8"/>
      <c r="E13" s="3">
        <v>4.1666666666666664E-2</v>
      </c>
      <c r="F13" s="4" cm="1">
        <f t="array" ref="F13">hours(may[[#This Row],[Start]],may[[#This Row],[End]],may[[#This Row],[Overnight (1 if yes)]])-may[[#This Row],[Break]]</f>
        <v>0.54166666666666674</v>
      </c>
    </row>
    <row r="14" spans="1:9" x14ac:dyDescent="0.3">
      <c r="A14" s="2">
        <v>45802</v>
      </c>
      <c r="B14" s="7">
        <v>0.33333333333333331</v>
      </c>
      <c r="C14" s="7">
        <v>0.16666666666666666</v>
      </c>
      <c r="D14" s="8">
        <v>1</v>
      </c>
      <c r="E14" s="3"/>
      <c r="F14" s="4" cm="1">
        <f t="array" ref="F14">hours(may[[#This Row],[Start]],may[[#This Row],[End]],may[[#This Row],[Overnight (1 if yes)]])-may[[#This Row],[Break]]</f>
        <v>0.83333333333333337</v>
      </c>
    </row>
    <row r="15" spans="1:9" x14ac:dyDescent="0.3">
      <c r="A15" s="2">
        <v>45804</v>
      </c>
      <c r="B15" s="7">
        <v>0.41666666666666669</v>
      </c>
      <c r="C15" s="7">
        <v>0.875</v>
      </c>
      <c r="D15" s="8"/>
      <c r="E15" s="3"/>
      <c r="F15" s="4" cm="1">
        <f t="array" ref="F15">hours(may[[#This Row],[Start]],may[[#This Row],[End]],may[[#This Row],[Overnight (1 if yes)]])-may[[#This Row],[Break]]</f>
        <v>0.45833333333333331</v>
      </c>
    </row>
    <row r="16" spans="1:9" x14ac:dyDescent="0.3">
      <c r="A16" s="2">
        <v>45806</v>
      </c>
      <c r="B16" s="7">
        <v>0.375</v>
      </c>
      <c r="C16" s="7">
        <v>0.83333333333333337</v>
      </c>
      <c r="D16" s="8"/>
      <c r="E16" s="3"/>
      <c r="F16" s="4" cm="1">
        <f t="array" ref="F16">hours(may[[#This Row],[Start]],may[[#This Row],[End]],may[[#This Row],[Overnight (1 if yes)]])-may[[#This Row],[Break]]</f>
        <v>0.45833333333333337</v>
      </c>
    </row>
    <row r="17" spans="1:6" x14ac:dyDescent="0.3">
      <c r="A17" s="2">
        <v>45808</v>
      </c>
      <c r="B17" s="7">
        <v>0.29166666666666669</v>
      </c>
      <c r="C17" s="7">
        <v>0.91666666666666663</v>
      </c>
      <c r="D17" s="8"/>
      <c r="E17" s="3"/>
      <c r="F17" s="4" cm="1">
        <f t="array" ref="F17">hours(may[[#This Row],[Start]],may[[#This Row],[End]],may[[#This Row],[Overnight (1 if yes)]])-may[[#This Row],[Break]]</f>
        <v>0.625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B8352-114A-484B-A22A-F0C5C9DAB8FE}">
  <sheetPr codeName="Sheet7"/>
  <dimension ref="A1:I17"/>
  <sheetViews>
    <sheetView workbookViewId="0">
      <selection activeCell="E12" sqref="E12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12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>
        <v>45809</v>
      </c>
      <c r="B3" s="7">
        <v>0.33333333333333331</v>
      </c>
      <c r="C3" s="7">
        <v>0.91666666666666663</v>
      </c>
      <c r="D3" s="8"/>
      <c r="E3" s="3"/>
      <c r="F3" s="4" cm="1">
        <f t="array" ref="F3">hours(jun[[#This Row],[Start]],jun[[#This Row],[End]],jun[[#This Row],[Overnight (1 if yes)]])-jun[[#This Row],[Break]]</f>
        <v>0.58333333333333326</v>
      </c>
      <c r="H3" s="5">
        <f>SUM(jun[Total hours])*24</f>
        <v>197.50000000000003</v>
      </c>
      <c r="I3" s="5" cm="1">
        <f t="array" ref="I3">t_jun[[#This Row],[Total hours worked]]*info[Hourly rate]</f>
        <v>6912.5000000000009</v>
      </c>
    </row>
    <row r="4" spans="1:9" x14ac:dyDescent="0.3">
      <c r="A4" s="2">
        <v>45811</v>
      </c>
      <c r="B4" s="7">
        <v>0.41666666666666669</v>
      </c>
      <c r="C4" s="7">
        <v>0.875</v>
      </c>
      <c r="D4" s="8"/>
      <c r="E4" s="3"/>
      <c r="F4" s="4" cm="1">
        <f t="array" ref="F4">hours(jun[[#This Row],[Start]],jun[[#This Row],[End]],jun[[#This Row],[Overnight (1 if yes)]])-jun[[#This Row],[Break]]</f>
        <v>0.45833333333333331</v>
      </c>
    </row>
    <row r="5" spans="1:9" x14ac:dyDescent="0.3">
      <c r="A5" s="2">
        <v>45813</v>
      </c>
      <c r="B5" s="7">
        <v>0.375</v>
      </c>
      <c r="C5" s="7">
        <v>0.79166666666666663</v>
      </c>
      <c r="D5" s="8"/>
      <c r="E5" s="3"/>
      <c r="F5" s="4" cm="1">
        <f t="array" ref="F5">hours(jun[[#This Row],[Start]],jun[[#This Row],[End]],jun[[#This Row],[Overnight (1 if yes)]])-jun[[#This Row],[Break]]</f>
        <v>0.41666666666666663</v>
      </c>
      <c r="H5" t="s">
        <v>24</v>
      </c>
      <c r="I5" t="s">
        <v>5</v>
      </c>
    </row>
    <row r="6" spans="1:9" x14ac:dyDescent="0.3">
      <c r="A6" s="2">
        <v>45815</v>
      </c>
      <c r="B6" s="7">
        <v>0.33333333333333331</v>
      </c>
      <c r="C6" s="7">
        <v>4.1666666666666664E-2</v>
      </c>
      <c r="D6" s="8">
        <v>1</v>
      </c>
      <c r="E6" s="3"/>
      <c r="F6" s="4" cm="1">
        <f t="array" ref="F6">hours(jun[[#This Row],[Start]],jun[[#This Row],[End]],jun[[#This Row],[Overnight (1 if yes)]])-jun[[#This Row],[Break]]</f>
        <v>0.70833333333333337</v>
      </c>
      <c r="H6" s="5">
        <f>MAX(jun[Total hours])*24</f>
        <v>20</v>
      </c>
      <c r="I6" s="2">
        <f>INDEX(jun[Date], MATCH(MAX(jun[Total hours]), jun[Total hours], 0))</f>
        <v>45832</v>
      </c>
    </row>
    <row r="7" spans="1:9" x14ac:dyDescent="0.3">
      <c r="A7" s="2">
        <v>45818</v>
      </c>
      <c r="B7" s="7">
        <v>0.375</v>
      </c>
      <c r="C7" s="7">
        <v>0.95833333333333337</v>
      </c>
      <c r="D7" s="8"/>
      <c r="E7" s="3"/>
      <c r="F7" s="4" cm="1">
        <f t="array" ref="F7">hours(jun[[#This Row],[Start]],jun[[#This Row],[End]],jun[[#This Row],[Overnight (1 if yes)]])-jun[[#This Row],[Break]]</f>
        <v>0.58333333333333337</v>
      </c>
    </row>
    <row r="8" spans="1:9" x14ac:dyDescent="0.3">
      <c r="A8" s="2">
        <v>45820</v>
      </c>
      <c r="B8" s="7">
        <v>0.375</v>
      </c>
      <c r="C8" s="7">
        <v>0.83333333333333337</v>
      </c>
      <c r="D8" s="8"/>
      <c r="E8" s="3"/>
      <c r="F8" s="4" cm="1">
        <f t="array" ref="F8">hours(jun[[#This Row],[Start]],jun[[#This Row],[End]],jun[[#This Row],[Overnight (1 if yes)]])-jun[[#This Row],[Break]]</f>
        <v>0.45833333333333337</v>
      </c>
    </row>
    <row r="9" spans="1:9" x14ac:dyDescent="0.3">
      <c r="A9" s="2">
        <v>45822</v>
      </c>
      <c r="B9" s="7">
        <v>0.375</v>
      </c>
      <c r="C9" s="7">
        <v>0.91666666666666663</v>
      </c>
      <c r="D9" s="8"/>
      <c r="E9" s="3"/>
      <c r="F9" s="4" cm="1">
        <f t="array" ref="F9">hours(jun[[#This Row],[Start]],jun[[#This Row],[End]],jun[[#This Row],[Overnight (1 if yes)]])-jun[[#This Row],[Break]]</f>
        <v>0.54166666666666663</v>
      </c>
    </row>
    <row r="10" spans="1:9" x14ac:dyDescent="0.3">
      <c r="A10" s="2">
        <v>45824</v>
      </c>
      <c r="B10" s="7">
        <v>0.375</v>
      </c>
      <c r="C10" s="7">
        <v>0.125</v>
      </c>
      <c r="D10" s="8">
        <v>1</v>
      </c>
      <c r="E10" s="3">
        <v>0.14583333333333334</v>
      </c>
      <c r="F10" s="4" cm="1">
        <f t="array" ref="F10">hours(jun[[#This Row],[Start]],jun[[#This Row],[End]],jun[[#This Row],[Overnight (1 if yes)]])-jun[[#This Row],[Break]]</f>
        <v>0.60416666666666663</v>
      </c>
    </row>
    <row r="11" spans="1:9" x14ac:dyDescent="0.3">
      <c r="A11" s="2">
        <v>45826</v>
      </c>
      <c r="B11" s="7">
        <v>0.41666666666666669</v>
      </c>
      <c r="C11" s="7">
        <v>0.875</v>
      </c>
      <c r="D11" s="8"/>
      <c r="E11" s="3">
        <v>4.1666666666666664E-2</v>
      </c>
      <c r="F11" s="4" cm="1">
        <f t="array" ref="F11">hours(jun[[#This Row],[Start]],jun[[#This Row],[End]],jun[[#This Row],[Overnight (1 if yes)]])-jun[[#This Row],[Break]]</f>
        <v>0.41666666666666663</v>
      </c>
    </row>
    <row r="12" spans="1:9" x14ac:dyDescent="0.3">
      <c r="A12" s="2">
        <v>45828</v>
      </c>
      <c r="B12" s="7">
        <v>0.29166666666666669</v>
      </c>
      <c r="C12" s="7">
        <v>0.83333333333333337</v>
      </c>
      <c r="D12" s="8"/>
      <c r="E12" s="3"/>
      <c r="F12" s="4" cm="1">
        <f t="array" ref="F12">hours(jun[[#This Row],[Start]],jun[[#This Row],[End]],jun[[#This Row],[Overnight (1 if yes)]])-jun[[#This Row],[Break]]</f>
        <v>0.54166666666666674</v>
      </c>
    </row>
    <row r="13" spans="1:9" x14ac:dyDescent="0.3">
      <c r="A13" s="2">
        <v>45830</v>
      </c>
      <c r="B13" s="7">
        <v>0.375</v>
      </c>
      <c r="C13" s="7">
        <v>0.91666666666666663</v>
      </c>
      <c r="D13" s="8"/>
      <c r="E13" s="3"/>
      <c r="F13" s="4" cm="1">
        <f t="array" ref="F13">hours(jun[[#This Row],[Start]],jun[[#This Row],[End]],jun[[#This Row],[Overnight (1 if yes)]])-jun[[#This Row],[Break]]</f>
        <v>0.54166666666666663</v>
      </c>
    </row>
    <row r="14" spans="1:9" x14ac:dyDescent="0.3">
      <c r="A14" s="2">
        <v>45832</v>
      </c>
      <c r="B14" s="7">
        <v>0.33333333333333331</v>
      </c>
      <c r="C14" s="7">
        <v>0.16666666666666666</v>
      </c>
      <c r="D14" s="8">
        <v>1</v>
      </c>
      <c r="E14" s="3"/>
      <c r="F14" s="4" cm="1">
        <f t="array" ref="F14">hours(jun[[#This Row],[Start]],jun[[#This Row],[End]],jun[[#This Row],[Overnight (1 if yes)]])-jun[[#This Row],[Break]]</f>
        <v>0.83333333333333337</v>
      </c>
    </row>
    <row r="15" spans="1:9" x14ac:dyDescent="0.3">
      <c r="A15" s="2">
        <v>45834</v>
      </c>
      <c r="B15" s="7">
        <v>0.41666666666666669</v>
      </c>
      <c r="C15" s="7">
        <v>0.95833333333333337</v>
      </c>
      <c r="D15" s="8"/>
      <c r="E15" s="3"/>
      <c r="F15" s="4" cm="1">
        <f t="array" ref="F15">hours(jun[[#This Row],[Start]],jun[[#This Row],[End]],jun[[#This Row],[Overnight (1 if yes)]])-jun[[#This Row],[Break]]</f>
        <v>0.54166666666666674</v>
      </c>
    </row>
    <row r="16" spans="1:9" x14ac:dyDescent="0.3">
      <c r="A16" s="2">
        <v>45836</v>
      </c>
      <c r="B16" s="7">
        <v>0.375</v>
      </c>
      <c r="C16" s="7">
        <v>0.875</v>
      </c>
      <c r="D16" s="8"/>
      <c r="E16" s="3"/>
      <c r="F16" s="4" cm="1">
        <f t="array" ref="F16">hours(jun[[#This Row],[Start]],jun[[#This Row],[End]],jun[[#This Row],[Overnight (1 if yes)]])-jun[[#This Row],[Break]]</f>
        <v>0.5</v>
      </c>
    </row>
    <row r="17" spans="1:6" x14ac:dyDescent="0.3">
      <c r="A17" s="2">
        <v>45838</v>
      </c>
      <c r="B17" s="7">
        <v>0.29166666666666669</v>
      </c>
      <c r="C17" s="7">
        <v>0.79166666666666663</v>
      </c>
      <c r="D17" s="8"/>
      <c r="E17" s="3"/>
      <c r="F17" s="4" cm="1">
        <f t="array" ref="F17">hours(jun[[#This Row],[Start]],jun[[#This Row],[End]],jun[[#This Row],[Overnight (1 if yes)]])-jun[[#This Row],[Break]]</f>
        <v>0.49999999999999994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1B004-A7ED-4A44-8467-555D736B143E}">
  <sheetPr codeName="Sheet6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13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8"/>
      <c r="E3" s="3"/>
      <c r="F3" s="4" cm="1">
        <f t="array" ref="F3">hours(jul[[#This Row],[Start]],jul[[#This Row],[End]],jul[[#This Row],[Overnight (1 if yes)]])-jul[[#This Row],[Break]]</f>
        <v>0</v>
      </c>
      <c r="H3" s="5">
        <f>SUM(jul[Total hours])*24</f>
        <v>0</v>
      </c>
      <c r="I3" s="5" cm="1">
        <f t="array" ref="I3">t_jul[[#This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MAX(jul[Total hours])*24</f>
        <v>0</v>
      </c>
      <c r="I6" s="2">
        <f>INDEX(jul[Date], MATCH(MAX(jul[Total hours]), jul[Total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3E9A1-D631-4CD1-9DD3-2EFBCF586492}">
  <sheetPr codeName="Sheet5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14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8"/>
      <c r="E3" s="3"/>
      <c r="F3" s="4" cm="1">
        <f t="array" ref="F3">hours(aug[[#This Row],[Start]],aug[[#This Row],[End]],aug[[#This Row],[Overnight (1 if yes)]])-aug[[#This Row],[Break]]</f>
        <v>0</v>
      </c>
      <c r="H3" s="5">
        <f>SUM(aug[Total hours])*24</f>
        <v>0</v>
      </c>
      <c r="I3" s="5" cm="1">
        <f t="array" ref="I3">t_aug[[#This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MAX(aug[Total hours])*24</f>
        <v>0</v>
      </c>
      <c r="I6" s="2">
        <f>INDEX(aug[Date], MATCH(MAX(aug[Total hours]), aug[Total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20482-7F6C-4F18-9630-EA9FC3C209FC}">
  <sheetPr codeName="Sheet4"/>
  <dimension ref="A1:I6"/>
  <sheetViews>
    <sheetView tabSelected="1"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15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8"/>
      <c r="E3" s="3"/>
      <c r="F3" s="4" cm="1">
        <f t="array" ref="F3">hours(sep[[#This Row],[Start]],sep[[#This Row],[End]],sep[[#This Row],[Overnight (1 if yes)]])-sep[[#This Row],[Break]]</f>
        <v>0</v>
      </c>
      <c r="H3" s="5">
        <f>SUM(sep[Total hours])*24</f>
        <v>0</v>
      </c>
      <c r="I3" s="5" cm="1">
        <f t="array" ref="I3">t_sep[[#This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MAX(sep[Total hours])*24</f>
        <v>0</v>
      </c>
      <c r="I6" s="2">
        <f>INDEX(sep[Date], MATCH(MAX(sep[Total hours]), sep[Total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5CFC1-4FE6-4A5B-B075-A734B3938839}">
  <sheetPr codeName="Sheet3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16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8"/>
      <c r="E3" s="3"/>
      <c r="F3" s="4" cm="1">
        <f t="array" ref="F3">hours(oct[[#This Row],[Start]],oct[[#This Row],[End]],oct[[#This Row],[Overnight (1 if yes)]])-oct[[#This Row],[Break]]</f>
        <v>0</v>
      </c>
      <c r="H3" s="5">
        <f>SUM(oct[Total hours])*24</f>
        <v>0</v>
      </c>
      <c r="I3" s="5" cm="1">
        <f t="array" ref="I3">t_oct[[#This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MAX(oct[Total hours])*24</f>
        <v>0</v>
      </c>
      <c r="I6" s="2">
        <f>INDEX(oct[Date], MATCH(MAX(oct[Total hours]), oct[Total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A829E-7AE8-4FA3-B8DB-C3B9B77AB6FF}">
  <sheetPr codeName="Sheet2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17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8"/>
      <c r="E3" s="3"/>
      <c r="F3" s="4" cm="1">
        <f t="array" ref="F3">hours(nov[[#This Row],[Start]],nov[[#This Row],[End]],nov[[#This Row],[Overnight (1 if yes)]])-nov[[#This Row],[Break]]</f>
        <v>0</v>
      </c>
      <c r="H3" s="5">
        <f>SUM(nov[Total hours])*24</f>
        <v>0</v>
      </c>
      <c r="I3" s="5" cm="1">
        <f t="array" ref="I3">t_nov[[#This Row],[Total hours worked]]*info[Hourly rate]</f>
        <v>0</v>
      </c>
    </row>
    <row r="5" spans="1:9" x14ac:dyDescent="0.3">
      <c r="D5" s="3"/>
      <c r="H5" t="s">
        <v>24</v>
      </c>
      <c r="I5" t="s">
        <v>5</v>
      </c>
    </row>
    <row r="6" spans="1:9" x14ac:dyDescent="0.3">
      <c r="H6" s="5">
        <f>MAX(nov[Total hours])*24</f>
        <v>0</v>
      </c>
      <c r="I6" s="2">
        <f>INDEX(nov[Date], MATCH(MAX(nov[Total hours]), nov[Total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E34CF-F5A7-4866-B7F6-890D1F3606A8}">
  <sheetPr codeName="Sheet1"/>
  <dimension ref="A1:I6"/>
  <sheetViews>
    <sheetView workbookViewId="0">
      <selection activeCell="D3" sqref="D3"/>
    </sheetView>
  </sheetViews>
  <sheetFormatPr defaultRowHeight="14.4" x14ac:dyDescent="0.3"/>
  <cols>
    <col min="1" max="1" width="9.6640625" bestFit="1" customWidth="1"/>
    <col min="2" max="2" width="10.88671875" bestFit="1" customWidth="1"/>
    <col min="4" max="4" width="18.5546875" bestFit="1" customWidth="1"/>
    <col min="5" max="5" width="9.88671875" bestFit="1" customWidth="1"/>
    <col min="6" max="6" width="14.44140625" bestFit="1" customWidth="1"/>
    <col min="8" max="8" width="16.5546875" bestFit="1" customWidth="1"/>
    <col min="9" max="9" width="11.109375" customWidth="1"/>
    <col min="10" max="10" width="8.88671875" customWidth="1"/>
    <col min="11" max="11" width="8.77734375" customWidth="1"/>
    <col min="13" max="13" width="8.88671875" customWidth="1"/>
    <col min="15" max="15" width="8.6640625" bestFit="1" customWidth="1"/>
    <col min="16" max="16" width="10.88671875" bestFit="1" customWidth="1"/>
    <col min="18" max="18" width="8.77734375" customWidth="1"/>
    <col min="19" max="19" width="9.88671875" bestFit="1" customWidth="1"/>
    <col min="20" max="20" width="14.44140625" bestFit="1" customWidth="1"/>
    <col min="22" max="22" width="9.6640625" bestFit="1" customWidth="1"/>
    <col min="25" max="26" width="13.88671875" bestFit="1" customWidth="1"/>
    <col min="27" max="27" width="14.44140625" bestFit="1" customWidth="1"/>
  </cols>
  <sheetData>
    <row r="1" spans="1:9" ht="13.8" customHeight="1" x14ac:dyDescent="0.3">
      <c r="A1" t="s">
        <v>18</v>
      </c>
    </row>
    <row r="2" spans="1:9" ht="14.4" customHeight="1" x14ac:dyDescent="0.3">
      <c r="A2" s="1" t="s">
        <v>5</v>
      </c>
      <c r="B2" s="1" t="s">
        <v>1</v>
      </c>
      <c r="C2" s="1" t="s">
        <v>2</v>
      </c>
      <c r="D2" s="1" t="s">
        <v>7</v>
      </c>
      <c r="E2" s="1" t="s">
        <v>3</v>
      </c>
      <c r="F2" s="1" t="s">
        <v>4</v>
      </c>
      <c r="H2" t="s">
        <v>20</v>
      </c>
      <c r="I2" t="s">
        <v>22</v>
      </c>
    </row>
    <row r="3" spans="1:9" x14ac:dyDescent="0.3">
      <c r="A3" s="2"/>
      <c r="B3" s="3"/>
      <c r="C3" s="3"/>
      <c r="D3" s="8"/>
      <c r="E3" s="3"/>
      <c r="F3" s="4" cm="1">
        <f t="array" ref="F3">hours(dec[[#This Row],[Start]],dec[[#This Row],[End]],dec[[#This Row],[Overnight (1 if yes)]])-dec[[#This Row],[Break]]</f>
        <v>0</v>
      </c>
      <c r="H3" s="5">
        <f>SUM(dec[Total hours])*24</f>
        <v>0</v>
      </c>
      <c r="I3" s="5" cm="1">
        <f t="array" ref="I3">t_dec[[#This Row],[Total hours worked]]*info[Hourly rate]</f>
        <v>0</v>
      </c>
    </row>
    <row r="5" spans="1:9" x14ac:dyDescent="0.3">
      <c r="H5" t="s">
        <v>24</v>
      </c>
      <c r="I5" t="s">
        <v>5</v>
      </c>
    </row>
    <row r="6" spans="1:9" x14ac:dyDescent="0.3">
      <c r="H6" s="5">
        <f>MAX(dec[Total hours])*24</f>
        <v>0</v>
      </c>
      <c r="I6" s="2">
        <f>INDEX(dec[Date], MATCH(MAX(dec[Total hours]), dec[Total hours], 0))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D4492-01F3-4940-A7A1-381468FACDF6}">
  <dimension ref="A1:C19"/>
  <sheetViews>
    <sheetView topLeftCell="A2" workbookViewId="0">
      <selection activeCell="C22" sqref="C22"/>
    </sheetView>
  </sheetViews>
  <sheetFormatPr defaultRowHeight="14.4" x14ac:dyDescent="0.3"/>
  <cols>
    <col min="1" max="1" width="12" customWidth="1"/>
    <col min="2" max="2" width="18.77734375" bestFit="1" customWidth="1"/>
    <col min="3" max="3" width="11.33203125" bestFit="1" customWidth="1"/>
    <col min="4" max="4" width="8.88671875" customWidth="1"/>
  </cols>
  <sheetData>
    <row r="1" spans="1:3" x14ac:dyDescent="0.3">
      <c r="A1" s="6" t="s">
        <v>23</v>
      </c>
    </row>
    <row r="2" spans="1:3" x14ac:dyDescent="0.3">
      <c r="A2" t="s">
        <v>21</v>
      </c>
    </row>
    <row r="3" spans="1:3" x14ac:dyDescent="0.3">
      <c r="A3">
        <v>35</v>
      </c>
    </row>
    <row r="6" spans="1:3" x14ac:dyDescent="0.3">
      <c r="A6" t="s">
        <v>19</v>
      </c>
      <c r="B6" t="s">
        <v>20</v>
      </c>
      <c r="C6" t="s">
        <v>22</v>
      </c>
    </row>
    <row r="7" spans="1:3" x14ac:dyDescent="0.3">
      <c r="A7" t="s">
        <v>6</v>
      </c>
      <c r="B7" s="4">
        <f>SUM(jan[Total hours])</f>
        <v>5.9166666666666661</v>
      </c>
      <c r="C7" s="5" cm="1">
        <f t="array" ref="C7">t_jan[Gross pay]</f>
        <v>4970</v>
      </c>
    </row>
    <row r="8" spans="1:3" x14ac:dyDescent="0.3">
      <c r="A8" t="s">
        <v>8</v>
      </c>
      <c r="B8" s="4">
        <f>SUM(feb[Total hours])</f>
        <v>7.145833333333333</v>
      </c>
      <c r="C8" s="5" cm="1">
        <f t="array" ref="C8">t_feb[Gross pay]</f>
        <v>6002.5</v>
      </c>
    </row>
    <row r="9" spans="1:3" x14ac:dyDescent="0.3">
      <c r="A9" t="s">
        <v>9</v>
      </c>
      <c r="B9" s="4">
        <f>SUM(mar[Total hours])</f>
        <v>8.125</v>
      </c>
      <c r="C9" s="5" cm="1">
        <f t="array" ref="C9">t_mar[Gross pay]</f>
        <v>6825</v>
      </c>
    </row>
    <row r="10" spans="1:3" x14ac:dyDescent="0.3">
      <c r="A10" t="s">
        <v>10</v>
      </c>
      <c r="B10" s="4">
        <f>SUM(apr[Total hours])</f>
        <v>8.0625</v>
      </c>
      <c r="C10" s="5" cm="1">
        <f t="array" ref="C10">t_apr[Gross pay]</f>
        <v>6772.5</v>
      </c>
    </row>
    <row r="11" spans="1:3" x14ac:dyDescent="0.3">
      <c r="A11" t="s">
        <v>11</v>
      </c>
      <c r="B11" s="4">
        <f>SUM(may[Total hours])</f>
        <v>7.8749999999999991</v>
      </c>
      <c r="C11" s="5" cm="1">
        <f t="array" ref="C11">t_may[Gross pay]</f>
        <v>6614.9999999999991</v>
      </c>
    </row>
    <row r="12" spans="1:3" x14ac:dyDescent="0.3">
      <c r="A12" t="s">
        <v>12</v>
      </c>
      <c r="B12" s="4">
        <f>SUM(jun[Total hours])</f>
        <v>8.2291666666666679</v>
      </c>
      <c r="C12" s="5" cm="1">
        <f t="array" ref="C12">t_jun[Gross pay]</f>
        <v>6912.5000000000009</v>
      </c>
    </row>
    <row r="13" spans="1:3" x14ac:dyDescent="0.3">
      <c r="A13" t="s">
        <v>13</v>
      </c>
      <c r="B13" s="4">
        <f>SUM(jul[Total hours])</f>
        <v>0</v>
      </c>
      <c r="C13" s="5" cm="1">
        <f t="array" ref="C13">t_jul[Gross pay]</f>
        <v>0</v>
      </c>
    </row>
    <row r="14" spans="1:3" x14ac:dyDescent="0.3">
      <c r="A14" t="s">
        <v>14</v>
      </c>
      <c r="B14" s="4">
        <f>SUM(aug[Total hours])</f>
        <v>0</v>
      </c>
      <c r="C14" s="5" cm="1">
        <f t="array" ref="C14">t_aug[Gross pay]</f>
        <v>0</v>
      </c>
    </row>
    <row r="15" spans="1:3" x14ac:dyDescent="0.3">
      <c r="A15" t="s">
        <v>15</v>
      </c>
      <c r="B15" s="4">
        <f>SUM(sep[Total hours])</f>
        <v>0</v>
      </c>
      <c r="C15" s="5" cm="1">
        <f t="array" ref="C15">t_sep[Gross pay]</f>
        <v>0</v>
      </c>
    </row>
    <row r="16" spans="1:3" x14ac:dyDescent="0.3">
      <c r="A16" t="s">
        <v>16</v>
      </c>
      <c r="B16" s="4">
        <f>SUM(oct[Total hours])</f>
        <v>0</v>
      </c>
      <c r="C16" s="5" cm="1">
        <f t="array" ref="C16">t_oct[Gross pay]</f>
        <v>0</v>
      </c>
    </row>
    <row r="17" spans="1:3" x14ac:dyDescent="0.3">
      <c r="A17" t="s">
        <v>17</v>
      </c>
      <c r="B17" s="4">
        <f>SUM(nov[Total hours])</f>
        <v>0</v>
      </c>
      <c r="C17" s="5" cm="1">
        <f t="array" ref="C17">t_nov[Gross pay]</f>
        <v>0</v>
      </c>
    </row>
    <row r="18" spans="1:3" x14ac:dyDescent="0.3">
      <c r="A18" t="s">
        <v>18</v>
      </c>
      <c r="B18" s="4">
        <f>SUM(dec[Total hours])</f>
        <v>0</v>
      </c>
      <c r="C18" s="5" cm="1">
        <f t="array" ref="C18">t_dec[Gross pay]</f>
        <v>0</v>
      </c>
    </row>
    <row r="19" spans="1:3" x14ac:dyDescent="0.3">
      <c r="A19" t="s">
        <v>0</v>
      </c>
      <c r="B19" s="4">
        <f>SUBTOTAL(109,months[Total hours worked])</f>
        <v>45.354166666666671</v>
      </c>
      <c r="C19" s="5">
        <f>SUBTOTAL(109,months[Gross pay])</f>
        <v>38097.5</v>
      </c>
    </row>
  </sheetData>
  <conditionalFormatting sqref="B7:B18">
    <cfRule type="top10" dxfId="2" priority="1" rank="1"/>
  </conditionalFormatting>
  <pageMargins left="0.7" right="0.7" top="0.75" bottom="0.75" header="0.3" footer="0.3"/>
  <pageSetup paperSize="9" orientation="portrait" r:id="rId1"/>
  <ignoredErrors>
    <ignoredError sqref="B7:B17" calculatedColumn="1"/>
  </ignoredErrors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Żwan Nina (STUD)</dc:creator>
  <cp:lastModifiedBy>Żwan Nina (STUD)</cp:lastModifiedBy>
  <dcterms:created xsi:type="dcterms:W3CDTF">2025-09-20T19:16:02Z</dcterms:created>
  <dcterms:modified xsi:type="dcterms:W3CDTF">2025-09-25T19:27:20Z</dcterms:modified>
</cp:coreProperties>
</file>